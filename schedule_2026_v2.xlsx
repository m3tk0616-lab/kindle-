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程表" sheetId="1" state="visible" r:id="rId1"/>
    <sheet name="勝敗表" sheetId="2" state="visible" r:id="rId2"/>
  </sheets>
  <definedNames>
    <definedName name="_xlnm.Print_Area" localSheetId="0">'日程表'!$A$1:$N$37</definedName>
    <definedName name="_xlnm.Print_Area" localSheetId="1">'勝敗表'!$A$1:$U$37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游ゴシック"/>
      <b val="1"/>
      <color rgb="00FFFFFF"/>
      <sz val="22"/>
    </font>
    <font>
      <name val="游ゴシック"/>
      <b val="1"/>
      <color rgb="00FFFFFF"/>
      <sz val="15"/>
    </font>
    <font>
      <name val="游ゴシック"/>
      <b val="1"/>
      <color rgb="00FFFFFF"/>
      <sz val="9"/>
    </font>
    <font>
      <name val="游ゴシック"/>
      <color rgb="001B3A6B"/>
      <sz val="10"/>
    </font>
    <font>
      <name val="游ゴシック"/>
      <color rgb="001B3A6B"/>
      <sz val="9"/>
    </font>
    <font>
      <name val="游ゴシック"/>
      <color rgb="00555555"/>
      <sz val="8"/>
    </font>
    <font>
      <name val="游ゴシック"/>
      <b val="1"/>
      <color rgb="0000008B"/>
      <sz val="10"/>
    </font>
    <font>
      <name val="游ゴシック"/>
      <b val="1"/>
      <color rgb="00990000"/>
      <sz val="10"/>
    </font>
    <font>
      <name val="游ゴシック"/>
      <b val="1"/>
      <color rgb="001B3A6B"/>
      <sz val="9"/>
    </font>
    <font>
      <name val="游ゴシック"/>
      <color rgb="001B3A6B"/>
      <sz val="7"/>
    </font>
    <font>
      <name val="游ゴシック"/>
      <color rgb="00FFFFFF"/>
      <sz val="8"/>
    </font>
    <font>
      <name val="游ゴシック"/>
      <b val="1"/>
      <color rgb="00FFFFFF"/>
      <sz val="8"/>
    </font>
    <font>
      <name val="游ゴシック"/>
      <b val="1"/>
      <color rgb="00FFFFFF"/>
      <sz val="11"/>
    </font>
    <font>
      <name val="游ゴシック"/>
      <b val="1"/>
      <color rgb="001B3A6B"/>
      <sz val="12"/>
    </font>
    <font>
      <name val="游ゴシック"/>
      <b val="1"/>
      <color rgb="001B3A6B"/>
      <sz val="13"/>
    </font>
    <font>
      <name val="游ゴシック"/>
      <b val="1"/>
      <color rgb="001B3A6B"/>
      <sz val="10"/>
    </font>
    <font>
      <name val="游ゴシック"/>
      <b val="1"/>
      <color rgb="001B3A6B"/>
      <sz val="11"/>
    </font>
    <font>
      <name val="游ゴシック"/>
      <b val="1"/>
      <color rgb="00006400"/>
      <sz val="12"/>
    </font>
    <font>
      <name val="游ゴシック"/>
      <color rgb="00990000"/>
      <sz val="10"/>
    </font>
    <font>
      <name val="游ゴシック"/>
      <b val="1"/>
      <color rgb="00B8860B"/>
      <sz val="13"/>
    </font>
  </fonts>
  <fills count="13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F"/>
      </patternFill>
    </fill>
    <fill>
      <patternFill patternType="solid">
        <fgColor rgb="00FFD6D6"/>
      </patternFill>
    </fill>
    <fill>
      <patternFill patternType="solid">
        <fgColor rgb="00F2F2F2"/>
      </patternFill>
    </fill>
    <fill>
      <patternFill patternType="solid">
        <fgColor rgb="00FFFACD"/>
      </patternFill>
    </fill>
    <fill>
      <patternFill patternType="solid">
        <fgColor rgb="00E8F5E9"/>
      </patternFill>
    </fill>
    <fill>
      <patternFill patternType="solid">
        <fgColor rgb="00F5DEB3"/>
      </patternFill>
    </fill>
    <fill>
      <patternFill patternType="solid">
        <fgColor rgb="00B8860B"/>
      </patternFill>
    </fill>
    <fill>
      <patternFill patternType="solid">
        <fgColor rgb="00FFFDE7"/>
      </patternFill>
    </fill>
  </fills>
  <borders count="9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medium"/>
      <right style="medium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3" pivotButton="0" quotePrefix="0" xfId="0"/>
    <xf numFmtId="0" fontId="2" fillId="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0" fillId="0" borderId="6" pivotButton="0" quotePrefix="0" xfId="0"/>
    <xf numFmtId="0" fontId="3" fillId="2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0" fillId="5" borderId="0" pivotButton="0" quotePrefix="0" xfId="0"/>
    <xf numFmtId="0" fontId="0" fillId="6" borderId="0" pivotButton="0" quotePrefix="0" xfId="0"/>
    <xf numFmtId="0" fontId="11" fillId="2" borderId="0" applyAlignment="1" pivotButton="0" quotePrefix="0" xfId="0">
      <alignment horizontal="left" vertical="center"/>
    </xf>
    <xf numFmtId="0" fontId="13" fillId="3" borderId="2" applyAlignment="1" pivotButton="0" quotePrefix="0" xfId="0">
      <alignment horizontal="left" vertical="center"/>
    </xf>
    <xf numFmtId="0" fontId="13" fillId="11" borderId="2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10" borderId="7" applyAlignment="1" pivotButton="0" quotePrefix="0" xfId="0">
      <alignment horizontal="center" vertical="center"/>
    </xf>
    <xf numFmtId="0" fontId="15" fillId="4" borderId="8" applyAlignment="1" pivotButton="0" quotePrefix="0" xfId="0">
      <alignment horizontal="left" vertical="center"/>
    </xf>
    <xf numFmtId="0" fontId="3" fillId="11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left" vertical="center"/>
    </xf>
    <xf numFmtId="0" fontId="18" fillId="4" borderId="2" applyAlignment="1" pivotButton="0" quotePrefix="0" xfId="0">
      <alignment horizontal="center" vertical="center"/>
    </xf>
    <xf numFmtId="0" fontId="19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20" fillId="4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center" vertical="center"/>
    </xf>
    <xf numFmtId="0" fontId="17" fillId="7" borderId="2" applyAlignment="1" pivotButton="0" quotePrefix="0" xfId="0">
      <alignment horizontal="left" vertical="center"/>
    </xf>
    <xf numFmtId="0" fontId="18" fillId="7" borderId="2" applyAlignment="1" pivotButton="0" quotePrefix="0" xfId="0">
      <alignment horizontal="center" vertical="center"/>
    </xf>
    <xf numFmtId="0" fontId="19" fillId="7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center"/>
    </xf>
    <xf numFmtId="0" fontId="20" fillId="7" borderId="2" applyAlignment="1" pivotButton="0" quotePrefix="0" xfId="0">
      <alignment horizontal="center" vertical="center"/>
    </xf>
    <xf numFmtId="0" fontId="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7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21" customWidth="1" min="3" max="3"/>
    <col width="16" customWidth="1" min="4" max="4"/>
    <col width="1.5" customWidth="1" min="5" max="5"/>
    <col width="4.5" customWidth="1" min="6" max="6"/>
    <col width="4.5" customWidth="1" min="7" max="7"/>
    <col width="21" customWidth="1" min="8" max="8"/>
    <col width="16" customWidth="1" min="9" max="9"/>
    <col width="1.5" customWidth="1" min="10" max="10"/>
    <col width="4.5" customWidth="1" min="11" max="11"/>
    <col width="4.5" customWidth="1" min="12" max="12"/>
    <col width="21" customWidth="1" min="13" max="13"/>
    <col width="16" customWidth="1" min="14" max="14"/>
    <col width="1.5" customWidth="1" min="16" max="16"/>
    <col width="5" customWidth="1" min="17" max="17"/>
  </cols>
  <sheetData>
    <row r="1" ht="38" customHeight="1">
      <c r="A1" s="1" t="inlineStr">
        <is>
          <t>令　和　８　年　　朝　野　球　日　程　表</t>
        </is>
      </c>
      <c r="E1" s="2" t="n"/>
      <c r="J1" s="2" t="n"/>
    </row>
    <row r="2" ht="24" customHeight="1">
      <c r="A2" s="3" t="inlineStr">
        <is>
          <t>５　月</t>
        </is>
      </c>
      <c r="E2" s="2" t="n"/>
      <c r="F2" s="3" t="inlineStr">
        <is>
          <t>６　月</t>
        </is>
      </c>
      <c r="J2" s="2" t="n"/>
      <c r="K2" s="3" t="inlineStr">
        <is>
          <t>７　月</t>
        </is>
      </c>
      <c r="Q2" s="4" t="inlineStr">
        <is>
          <t>No.</t>
        </is>
      </c>
      <c r="R2" s="5" t="n"/>
    </row>
    <row r="3" ht="17" customHeight="1">
      <c r="A3" s="6" t="inlineStr">
        <is>
          <t>日</t>
        </is>
      </c>
      <c r="B3" s="6" t="inlineStr">
        <is>
          <t>曜</t>
        </is>
      </c>
      <c r="C3" s="6" t="inlineStr">
        <is>
          <t>対　戦　チ　ー　ム</t>
        </is>
      </c>
      <c r="D3" s="6" t="inlineStr">
        <is>
          <t>審　判</t>
        </is>
      </c>
      <c r="E3" s="2" t="n"/>
      <c r="F3" s="6" t="inlineStr">
        <is>
          <t>日</t>
        </is>
      </c>
      <c r="G3" s="6" t="inlineStr">
        <is>
          <t>曜</t>
        </is>
      </c>
      <c r="H3" s="6" t="inlineStr">
        <is>
          <t>対　戦　チ　ー　ム</t>
        </is>
      </c>
      <c r="I3" s="6" t="inlineStr">
        <is>
          <t>審　判</t>
        </is>
      </c>
      <c r="J3" s="2" t="n"/>
      <c r="K3" s="6" t="inlineStr">
        <is>
          <t>日</t>
        </is>
      </c>
      <c r="L3" s="6" t="inlineStr">
        <is>
          <t>曜</t>
        </is>
      </c>
      <c r="M3" s="6" t="inlineStr">
        <is>
          <t>対　戦　チ　ー　ム</t>
        </is>
      </c>
      <c r="N3" s="6" t="inlineStr">
        <is>
          <t>審　判</t>
        </is>
      </c>
      <c r="Q3" s="7" t="n">
        <v>1</v>
      </c>
      <c r="R3" s="8">
        <f>IFERROR(VLOOKUP(1,勝敗表!$A$3:$B$8,2,0),"")</f>
        <v/>
      </c>
    </row>
    <row r="4" ht="15.5" customHeight="1">
      <c r="A4" s="9" t="n">
        <v>1</v>
      </c>
      <c r="B4" s="9" t="inlineStr">
        <is>
          <t>金</t>
        </is>
      </c>
      <c r="C4" s="10" t="n"/>
      <c r="D4" s="11" t="n"/>
      <c r="E4" s="2" t="n"/>
      <c r="F4" s="9" t="n">
        <v>1</v>
      </c>
      <c r="G4" s="9" t="inlineStr">
        <is>
          <t>月</t>
        </is>
      </c>
      <c r="H4" s="10" t="n"/>
      <c r="I4" s="11" t="n"/>
      <c r="J4" s="2" t="n"/>
      <c r="K4" s="12" t="n">
        <v>1</v>
      </c>
      <c r="L4" s="12" t="inlineStr">
        <is>
          <t>水</t>
        </is>
      </c>
      <c r="M4" s="13">
        <f>IFERROR(VLOOKUP(3,勝敗表!$A$3:$B$8,2,0)&amp;"  ー  "&amp;VLOOKUP(4,勝敗表!$A$3:$B$8,2,0),"3 ー 4")</f>
        <v/>
      </c>
      <c r="N4" s="14">
        <f>IFERROR(VLOOKUP(1,勝敗表!$A$3:$B$8,2,0)&amp;"・"&amp;VLOOKUP(5,勝敗表!$A$3:$B$8,2,0),"1・5")</f>
        <v/>
      </c>
      <c r="Q4" s="7" t="n">
        <v>2</v>
      </c>
      <c r="R4" s="8">
        <f>IFERROR(VLOOKUP(2,勝敗表!$A$3:$B$8,2,0),"")</f>
        <v/>
      </c>
    </row>
    <row r="5" ht="15.5" customHeight="1">
      <c r="A5" s="15" t="n">
        <v>2</v>
      </c>
      <c r="B5" s="16" t="inlineStr">
        <is>
          <t>土</t>
        </is>
      </c>
      <c r="C5" s="17" t="n"/>
      <c r="D5" s="18" t="n"/>
      <c r="E5" s="2" t="n"/>
      <c r="F5" s="12" t="n">
        <v>2</v>
      </c>
      <c r="G5" s="12" t="inlineStr">
        <is>
          <t>火</t>
        </is>
      </c>
      <c r="H5" s="13">
        <f>IFERROR(VLOOKUP(1,勝敗表!$A$3:$B$8,2,0)&amp;"  ー  "&amp;VLOOKUP(6,勝敗表!$A$3:$B$8,2,0),"1 ー 6")</f>
        <v/>
      </c>
      <c r="I5" s="14">
        <f>IFERROR(VLOOKUP(2,勝敗表!$A$3:$B$8,2,0)&amp;"・"&amp;VLOOKUP(4,勝敗表!$A$3:$B$8,2,0),"2・4")</f>
        <v/>
      </c>
      <c r="J5" s="2" t="n"/>
      <c r="K5" s="12" t="n">
        <v>2</v>
      </c>
      <c r="L5" s="12" t="inlineStr">
        <is>
          <t>木</t>
        </is>
      </c>
      <c r="M5" s="13">
        <f>IFERROR(VLOOKUP(2,勝敗表!$A$3:$B$8,2,0)&amp;"  ー  "&amp;VLOOKUP(6,勝敗表!$A$3:$B$8,2,0),"2 ー 6")</f>
        <v/>
      </c>
      <c r="N5" s="14">
        <f>IFERROR(VLOOKUP(3,勝敗表!$A$3:$B$8,2,0)&amp;"・"&amp;VLOOKUP(4,勝敗表!$A$3:$B$8,2,0),"3・4")</f>
        <v/>
      </c>
      <c r="Q5" s="7" t="n">
        <v>3</v>
      </c>
      <c r="R5" s="8">
        <f>IFERROR(VLOOKUP(3,勝敗表!$A$3:$B$8,2,0),"")</f>
        <v/>
      </c>
    </row>
    <row r="6" ht="15.5" customHeight="1">
      <c r="A6" s="19" t="n">
        <v>3</v>
      </c>
      <c r="B6" s="20" t="inlineStr">
        <is>
          <t>日</t>
        </is>
      </c>
      <c r="C6" s="21" t="n"/>
      <c r="D6" s="22" t="n"/>
      <c r="E6" s="2" t="n"/>
      <c r="F6" s="12" t="n">
        <v>3</v>
      </c>
      <c r="G6" s="12" t="inlineStr">
        <is>
          <t>水</t>
        </is>
      </c>
      <c r="H6" s="13">
        <f>IFERROR(VLOOKUP(2,勝敗表!$A$3:$B$8,2,0)&amp;"  ー  "&amp;VLOOKUP(3,勝敗表!$A$3:$B$8,2,0),"2 ー 3")</f>
        <v/>
      </c>
      <c r="I6" s="14">
        <f>IFERROR(VLOOKUP(1,勝敗表!$A$3:$B$8,2,0)&amp;"・"&amp;VLOOKUP(6,勝敗表!$A$3:$B$8,2,0),"1・6")</f>
        <v/>
      </c>
      <c r="J6" s="2" t="n"/>
      <c r="K6" s="9" t="n">
        <v>3</v>
      </c>
      <c r="L6" s="9" t="inlineStr">
        <is>
          <t>金</t>
        </is>
      </c>
      <c r="M6" s="10" t="n"/>
      <c r="N6" s="11" t="n"/>
      <c r="Q6" s="7" t="n">
        <v>4</v>
      </c>
      <c r="R6" s="8">
        <f>IFERROR(VLOOKUP(4,勝敗表!$A$3:$B$8,2,0),"")</f>
        <v/>
      </c>
    </row>
    <row r="7" ht="15.5" customHeight="1">
      <c r="A7" s="23" t="n">
        <v>4</v>
      </c>
      <c r="B7" s="23" t="inlineStr">
        <is>
          <t>月</t>
        </is>
      </c>
      <c r="C7" s="24" t="n"/>
      <c r="D7" s="25" t="n"/>
      <c r="E7" s="2" t="n"/>
      <c r="F7" s="12" t="n">
        <v>4</v>
      </c>
      <c r="G7" s="12" t="inlineStr">
        <is>
          <t>木</t>
        </is>
      </c>
      <c r="H7" s="13">
        <f>IFERROR(VLOOKUP(4,勝敗表!$A$3:$B$8,2,0)&amp;"  ー  "&amp;VLOOKUP(5,勝敗表!$A$3:$B$8,2,0),"4 ー 5")</f>
        <v/>
      </c>
      <c r="I7" s="14">
        <f>IFERROR(VLOOKUP(2,勝敗表!$A$3:$B$8,2,0)&amp;"・"&amp;VLOOKUP(3,勝敗表!$A$3:$B$8,2,0),"2・3")</f>
        <v/>
      </c>
      <c r="J7" s="2" t="n"/>
      <c r="K7" s="15" t="n">
        <v>4</v>
      </c>
      <c r="L7" s="16" t="inlineStr">
        <is>
          <t>土</t>
        </is>
      </c>
      <c r="M7" s="17" t="n"/>
      <c r="N7" s="18" t="n"/>
      <c r="Q7" s="7" t="n">
        <v>5</v>
      </c>
      <c r="R7" s="8">
        <f>IFERROR(VLOOKUP(5,勝敗表!$A$3:$B$8,2,0),"")</f>
        <v/>
      </c>
    </row>
    <row r="8" ht="15.5" customHeight="1">
      <c r="A8" s="9" t="n">
        <v>5</v>
      </c>
      <c r="B8" s="9" t="inlineStr">
        <is>
          <t>火</t>
        </is>
      </c>
      <c r="C8" s="10" t="n"/>
      <c r="D8" s="11" t="n"/>
      <c r="E8" s="2" t="n"/>
      <c r="F8" s="9" t="n">
        <v>5</v>
      </c>
      <c r="G8" s="9" t="inlineStr">
        <is>
          <t>金</t>
        </is>
      </c>
      <c r="H8" s="10" t="n"/>
      <c r="I8" s="11" t="n"/>
      <c r="J8" s="2" t="n"/>
      <c r="K8" s="19" t="n">
        <v>5</v>
      </c>
      <c r="L8" s="20" t="inlineStr">
        <is>
          <t>日</t>
        </is>
      </c>
      <c r="M8" s="21" t="n"/>
      <c r="N8" s="22" t="n"/>
      <c r="Q8" s="7" t="n">
        <v>6</v>
      </c>
      <c r="R8" s="8">
        <f>IFERROR(VLOOKUP(6,勝敗表!$A$3:$B$8,2,0),"")</f>
        <v/>
      </c>
    </row>
    <row r="9" ht="15.5" customHeight="1">
      <c r="A9" s="23" t="n">
        <v>6</v>
      </c>
      <c r="B9" s="23" t="inlineStr">
        <is>
          <t>水</t>
        </is>
      </c>
      <c r="C9" s="24" t="n"/>
      <c r="D9" s="25" t="n"/>
      <c r="E9" s="2" t="n"/>
      <c r="F9" s="15" t="n">
        <v>6</v>
      </c>
      <c r="G9" s="16" t="inlineStr">
        <is>
          <t>土</t>
        </is>
      </c>
      <c r="H9" s="17" t="n"/>
      <c r="I9" s="18" t="n"/>
      <c r="J9" s="2" t="n"/>
      <c r="K9" s="23" t="n">
        <v>6</v>
      </c>
      <c r="L9" s="23" t="inlineStr">
        <is>
          <t>月</t>
        </is>
      </c>
      <c r="M9" s="24" t="n"/>
      <c r="N9" s="25" t="n"/>
    </row>
    <row r="10" ht="15.5" customHeight="1">
      <c r="A10" s="9" t="n">
        <v>7</v>
      </c>
      <c r="B10" s="9" t="inlineStr">
        <is>
          <t>木</t>
        </is>
      </c>
      <c r="C10" s="10" t="n"/>
      <c r="D10" s="11" t="n"/>
      <c r="E10" s="2" t="n"/>
      <c r="F10" s="19" t="n">
        <v>7</v>
      </c>
      <c r="G10" s="20" t="inlineStr">
        <is>
          <t>日</t>
        </is>
      </c>
      <c r="H10" s="21" t="n"/>
      <c r="I10" s="22" t="n"/>
      <c r="J10" s="2" t="n"/>
      <c r="K10" s="9" t="n">
        <v>7</v>
      </c>
      <c r="L10" s="9" t="inlineStr">
        <is>
          <t>火</t>
        </is>
      </c>
      <c r="M10" s="10" t="n"/>
      <c r="N10" s="11" t="n"/>
    </row>
    <row r="11" ht="15.5" customHeight="1">
      <c r="A11" s="23" t="n">
        <v>8</v>
      </c>
      <c r="B11" s="23" t="inlineStr">
        <is>
          <t>金</t>
        </is>
      </c>
      <c r="C11" s="24" t="n"/>
      <c r="D11" s="25" t="n"/>
      <c r="E11" s="2" t="n"/>
      <c r="F11" s="23" t="n">
        <v>8</v>
      </c>
      <c r="G11" s="23" t="inlineStr">
        <is>
          <t>月</t>
        </is>
      </c>
      <c r="H11" s="24" t="n"/>
      <c r="I11" s="25" t="n"/>
      <c r="J11" s="2" t="n"/>
      <c r="K11" s="23" t="n">
        <v>8</v>
      </c>
      <c r="L11" s="23" t="inlineStr">
        <is>
          <t>水</t>
        </is>
      </c>
      <c r="M11" s="24" t="n"/>
      <c r="N11" s="25" t="n"/>
    </row>
    <row r="12" ht="15.5" customHeight="1">
      <c r="A12" s="15" t="n">
        <v>9</v>
      </c>
      <c r="B12" s="16" t="inlineStr">
        <is>
          <t>土</t>
        </is>
      </c>
      <c r="C12" s="17" t="n"/>
      <c r="D12" s="18" t="n"/>
      <c r="E12" s="2" t="n"/>
      <c r="F12" s="12" t="n">
        <v>9</v>
      </c>
      <c r="G12" s="12" t="inlineStr">
        <is>
          <t>火</t>
        </is>
      </c>
      <c r="H12" s="13">
        <f>IFERROR(VLOOKUP(1,勝敗表!$A$3:$B$8,2,0)&amp;"  ー  "&amp;VLOOKUP(2,勝敗表!$A$3:$B$8,2,0),"1 ー 2")</f>
        <v/>
      </c>
      <c r="I12" s="14">
        <f>IFERROR(VLOOKUP(4,勝敗表!$A$3:$B$8,2,0)&amp;"・"&amp;VLOOKUP(5,勝敗表!$A$3:$B$8,2,0),"4・5")</f>
        <v/>
      </c>
      <c r="J12" s="2" t="n"/>
      <c r="K12" s="9" t="n">
        <v>9</v>
      </c>
      <c r="L12" s="9" t="inlineStr">
        <is>
          <t>木</t>
        </is>
      </c>
      <c r="M12" s="10" t="n"/>
      <c r="N12" s="11" t="n"/>
    </row>
    <row r="13" ht="15.5" customHeight="1">
      <c r="A13" s="19" t="n">
        <v>10</v>
      </c>
      <c r="B13" s="20" t="inlineStr">
        <is>
          <t>日</t>
        </is>
      </c>
      <c r="C13" s="21" t="n"/>
      <c r="D13" s="22" t="n"/>
      <c r="E13" s="2" t="n"/>
      <c r="F13" s="12" t="n">
        <v>10</v>
      </c>
      <c r="G13" s="12" t="inlineStr">
        <is>
          <t>水</t>
        </is>
      </c>
      <c r="H13" s="13">
        <f>IFERROR(VLOOKUP(3,勝敗表!$A$3:$B$8,2,0)&amp;"  ー  "&amp;VLOOKUP(5,勝敗表!$A$3:$B$8,2,0),"3 ー 5")</f>
        <v/>
      </c>
      <c r="I13" s="14">
        <f>IFERROR(VLOOKUP(1,勝敗表!$A$3:$B$8,2,0)&amp;"・"&amp;VLOOKUP(2,勝敗表!$A$3:$B$8,2,0),"1・2")</f>
        <v/>
      </c>
      <c r="J13" s="2" t="n"/>
      <c r="K13" s="23" t="n">
        <v>10</v>
      </c>
      <c r="L13" s="23" t="inlineStr">
        <is>
          <t>金</t>
        </is>
      </c>
      <c r="M13" s="24" t="n"/>
      <c r="N13" s="25" t="n"/>
    </row>
    <row r="14" ht="15.5" customHeight="1">
      <c r="A14" s="9" t="n">
        <v>11</v>
      </c>
      <c r="B14" s="9" t="inlineStr">
        <is>
          <t>月</t>
        </is>
      </c>
      <c r="C14" s="10" t="n"/>
      <c r="D14" s="11" t="n"/>
      <c r="E14" s="2" t="n"/>
      <c r="F14" s="12" t="n">
        <v>11</v>
      </c>
      <c r="G14" s="12" t="inlineStr">
        <is>
          <t>木</t>
        </is>
      </c>
      <c r="H14" s="13">
        <f>IFERROR(VLOOKUP(4,勝敗表!$A$3:$B$8,2,0)&amp;"  ー  "&amp;VLOOKUP(6,勝敗表!$A$3:$B$8,2,0),"4 ー 6")</f>
        <v/>
      </c>
      <c r="I14" s="14">
        <f>IFERROR(VLOOKUP(3,勝敗表!$A$3:$B$8,2,0)&amp;"・"&amp;VLOOKUP(5,勝敗表!$A$3:$B$8,2,0),"3・5")</f>
        <v/>
      </c>
      <c r="J14" s="2" t="n"/>
      <c r="K14" s="15" t="n">
        <v>11</v>
      </c>
      <c r="L14" s="16" t="inlineStr">
        <is>
          <t>土</t>
        </is>
      </c>
      <c r="M14" s="17" t="n"/>
      <c r="N14" s="18" t="n"/>
    </row>
    <row r="15" ht="15.5" customHeight="1">
      <c r="A15" s="23" t="n">
        <v>12</v>
      </c>
      <c r="B15" s="23" t="inlineStr">
        <is>
          <t>火</t>
        </is>
      </c>
      <c r="C15" s="24" t="n"/>
      <c r="D15" s="25" t="n"/>
      <c r="E15" s="2" t="n"/>
      <c r="F15" s="23" t="n">
        <v>12</v>
      </c>
      <c r="G15" s="23" t="inlineStr">
        <is>
          <t>金</t>
        </is>
      </c>
      <c r="H15" s="24" t="n"/>
      <c r="I15" s="25" t="n"/>
      <c r="J15" s="2" t="n"/>
      <c r="K15" s="19" t="n">
        <v>12</v>
      </c>
      <c r="L15" s="20" t="inlineStr">
        <is>
          <t>日</t>
        </is>
      </c>
      <c r="M15" s="21" t="n"/>
      <c r="N15" s="22" t="n"/>
    </row>
    <row r="16" ht="15.5" customHeight="1">
      <c r="A16" s="9" t="n">
        <v>13</v>
      </c>
      <c r="B16" s="9" t="inlineStr">
        <is>
          <t>水</t>
        </is>
      </c>
      <c r="C16" s="10" t="n"/>
      <c r="D16" s="11" t="n"/>
      <c r="E16" s="2" t="n"/>
      <c r="F16" s="15" t="n">
        <v>13</v>
      </c>
      <c r="G16" s="16" t="inlineStr">
        <is>
          <t>土</t>
        </is>
      </c>
      <c r="H16" s="17" t="n"/>
      <c r="I16" s="18" t="n"/>
      <c r="J16" s="2" t="n"/>
      <c r="K16" s="9" t="n">
        <v>13</v>
      </c>
      <c r="L16" s="9" t="inlineStr">
        <is>
          <t>月</t>
        </is>
      </c>
      <c r="M16" s="10" t="n"/>
      <c r="N16" s="11" t="n"/>
    </row>
    <row r="17" ht="15.5" customHeight="1">
      <c r="A17" s="23" t="n">
        <v>14</v>
      </c>
      <c r="B17" s="23" t="inlineStr">
        <is>
          <t>木</t>
        </is>
      </c>
      <c r="C17" s="24" t="n"/>
      <c r="D17" s="25" t="n"/>
      <c r="E17" s="2" t="n"/>
      <c r="F17" s="19" t="n">
        <v>14</v>
      </c>
      <c r="G17" s="20" t="inlineStr">
        <is>
          <t>日</t>
        </is>
      </c>
      <c r="H17" s="21" t="n"/>
      <c r="I17" s="22" t="n"/>
      <c r="J17" s="2" t="n"/>
      <c r="K17" s="23" t="n">
        <v>14</v>
      </c>
      <c r="L17" s="23" t="inlineStr">
        <is>
          <t>火</t>
        </is>
      </c>
      <c r="M17" s="24" t="n"/>
      <c r="N17" s="25" t="n"/>
    </row>
    <row r="18" ht="15.5" customHeight="1">
      <c r="A18" s="9" t="n">
        <v>15</v>
      </c>
      <c r="B18" s="9" t="inlineStr">
        <is>
          <t>金</t>
        </is>
      </c>
      <c r="C18" s="10" t="n"/>
      <c r="D18" s="11" t="n"/>
      <c r="E18" s="2" t="n"/>
      <c r="F18" s="9" t="n">
        <v>15</v>
      </c>
      <c r="G18" s="9" t="inlineStr">
        <is>
          <t>月</t>
        </is>
      </c>
      <c r="H18" s="10" t="n"/>
      <c r="I18" s="11" t="n"/>
      <c r="J18" s="2" t="n"/>
      <c r="K18" s="9" t="n">
        <v>15</v>
      </c>
      <c r="L18" s="9" t="inlineStr">
        <is>
          <t>水</t>
        </is>
      </c>
      <c r="M18" s="10" t="n"/>
      <c r="N18" s="11" t="n"/>
    </row>
    <row r="19" ht="15.5" customHeight="1">
      <c r="A19" s="15" t="n">
        <v>16</v>
      </c>
      <c r="B19" s="16" t="inlineStr">
        <is>
          <t>土</t>
        </is>
      </c>
      <c r="C19" s="17" t="n"/>
      <c r="D19" s="18" t="n"/>
      <c r="E19" s="2" t="n"/>
      <c r="F19" s="26" t="n">
        <v>16</v>
      </c>
      <c r="G19" s="26" t="inlineStr">
        <is>
          <t>火</t>
        </is>
      </c>
      <c r="H19" s="27" t="inlineStr">
        <is>
          <t>予  備  日</t>
        </is>
      </c>
      <c r="I19" s="28" t="n"/>
      <c r="J19" s="2" t="n"/>
      <c r="K19" s="23" t="n">
        <v>16</v>
      </c>
      <c r="L19" s="23" t="inlineStr">
        <is>
          <t>木</t>
        </is>
      </c>
      <c r="M19" s="24" t="n"/>
      <c r="N19" s="25" t="n"/>
    </row>
    <row r="20" ht="15.5" customHeight="1">
      <c r="A20" s="19" t="n">
        <v>17</v>
      </c>
      <c r="B20" s="20" t="inlineStr">
        <is>
          <t>日</t>
        </is>
      </c>
      <c r="C20" s="21" t="n"/>
      <c r="D20" s="22" t="n"/>
      <c r="E20" s="2" t="n"/>
      <c r="F20" s="26" t="n">
        <v>17</v>
      </c>
      <c r="G20" s="26" t="inlineStr">
        <is>
          <t>水</t>
        </is>
      </c>
      <c r="H20" s="27" t="inlineStr">
        <is>
          <t>予  備  日</t>
        </is>
      </c>
      <c r="I20" s="28" t="n"/>
      <c r="J20" s="2" t="n"/>
      <c r="K20" s="9" t="n">
        <v>17</v>
      </c>
      <c r="L20" s="9" t="inlineStr">
        <is>
          <t>金</t>
        </is>
      </c>
      <c r="M20" s="10" t="n"/>
      <c r="N20" s="11" t="n"/>
    </row>
    <row r="21" ht="15.5" customHeight="1">
      <c r="A21" s="23" t="n">
        <v>18</v>
      </c>
      <c r="B21" s="23" t="inlineStr">
        <is>
          <t>月</t>
        </is>
      </c>
      <c r="C21" s="24" t="n"/>
      <c r="D21" s="25" t="n"/>
      <c r="E21" s="2" t="n"/>
      <c r="F21" s="26" t="n">
        <v>18</v>
      </c>
      <c r="G21" s="26" t="inlineStr">
        <is>
          <t>木</t>
        </is>
      </c>
      <c r="H21" s="27" t="inlineStr">
        <is>
          <t>予  備  日</t>
        </is>
      </c>
      <c r="I21" s="28" t="n"/>
      <c r="J21" s="2" t="n"/>
      <c r="K21" s="15" t="n">
        <v>18</v>
      </c>
      <c r="L21" s="16" t="inlineStr">
        <is>
          <t>土</t>
        </is>
      </c>
      <c r="M21" s="17" t="n"/>
      <c r="N21" s="18" t="n"/>
    </row>
    <row r="22" ht="15.5" customHeight="1">
      <c r="A22" s="9" t="n">
        <v>19</v>
      </c>
      <c r="B22" s="9" t="inlineStr">
        <is>
          <t>火</t>
        </is>
      </c>
      <c r="C22" s="10" t="n"/>
      <c r="D22" s="11" t="n"/>
      <c r="E22" s="2" t="n"/>
      <c r="F22" s="9" t="n">
        <v>19</v>
      </c>
      <c r="G22" s="9" t="inlineStr">
        <is>
          <t>金</t>
        </is>
      </c>
      <c r="H22" s="10" t="n"/>
      <c r="I22" s="11" t="n"/>
      <c r="J22" s="2" t="n"/>
      <c r="K22" s="19" t="n">
        <v>19</v>
      </c>
      <c r="L22" s="20" t="inlineStr">
        <is>
          <t>日</t>
        </is>
      </c>
      <c r="M22" s="21" t="n"/>
      <c r="N22" s="22" t="n"/>
    </row>
    <row r="23" ht="15.5" customHeight="1">
      <c r="A23" s="23" t="n">
        <v>20</v>
      </c>
      <c r="B23" s="23" t="inlineStr">
        <is>
          <t>水</t>
        </is>
      </c>
      <c r="C23" s="24" t="n"/>
      <c r="D23" s="25" t="n"/>
      <c r="E23" s="2" t="n"/>
      <c r="F23" s="15" t="n">
        <v>20</v>
      </c>
      <c r="G23" s="16" t="inlineStr">
        <is>
          <t>土</t>
        </is>
      </c>
      <c r="H23" s="17" t="n"/>
      <c r="I23" s="18" t="n"/>
      <c r="J23" s="2" t="n"/>
      <c r="K23" s="23" t="n">
        <v>20</v>
      </c>
      <c r="L23" s="23" t="inlineStr">
        <is>
          <t>月</t>
        </is>
      </c>
      <c r="M23" s="24" t="n"/>
      <c r="N23" s="25" t="n"/>
    </row>
    <row r="24" ht="15.5" customHeight="1">
      <c r="A24" s="9" t="n">
        <v>21</v>
      </c>
      <c r="B24" s="9" t="inlineStr">
        <is>
          <t>木</t>
        </is>
      </c>
      <c r="C24" s="10" t="n"/>
      <c r="D24" s="11" t="n"/>
      <c r="E24" s="2" t="n"/>
      <c r="F24" s="19" t="n">
        <v>21</v>
      </c>
      <c r="G24" s="20" t="inlineStr">
        <is>
          <t>日</t>
        </is>
      </c>
      <c r="H24" s="21" t="n"/>
      <c r="I24" s="22" t="n"/>
      <c r="J24" s="2" t="n"/>
      <c r="K24" s="9" t="n">
        <v>21</v>
      </c>
      <c r="L24" s="9" t="inlineStr">
        <is>
          <t>火</t>
        </is>
      </c>
      <c r="M24" s="10" t="n"/>
      <c r="N24" s="11" t="n"/>
    </row>
    <row r="25" ht="15.5" customHeight="1">
      <c r="A25" s="23" t="n">
        <v>22</v>
      </c>
      <c r="B25" s="23" t="inlineStr">
        <is>
          <t>金</t>
        </is>
      </c>
      <c r="C25" s="24" t="n"/>
      <c r="D25" s="25" t="n"/>
      <c r="E25" s="2" t="n"/>
      <c r="F25" s="23" t="n">
        <v>22</v>
      </c>
      <c r="G25" s="23" t="inlineStr">
        <is>
          <t>月</t>
        </is>
      </c>
      <c r="H25" s="24" t="n"/>
      <c r="I25" s="25" t="n"/>
      <c r="J25" s="2" t="n"/>
      <c r="K25" s="23" t="n">
        <v>22</v>
      </c>
      <c r="L25" s="23" t="inlineStr">
        <is>
          <t>水</t>
        </is>
      </c>
      <c r="M25" s="24" t="n"/>
      <c r="N25" s="25" t="n"/>
    </row>
    <row r="26" ht="15.5" customHeight="1">
      <c r="A26" s="15" t="n">
        <v>23</v>
      </c>
      <c r="B26" s="16" t="inlineStr">
        <is>
          <t>土</t>
        </is>
      </c>
      <c r="C26" s="17" t="n"/>
      <c r="D26" s="18" t="n"/>
      <c r="E26" s="2" t="n"/>
      <c r="F26" s="12" t="n">
        <v>23</v>
      </c>
      <c r="G26" s="12" t="inlineStr">
        <is>
          <t>火</t>
        </is>
      </c>
      <c r="H26" s="13">
        <f>IFERROR(VLOOKUP(2,勝敗表!$A$3:$B$8,2,0)&amp;"  ー  "&amp;VLOOKUP(5,勝敗表!$A$3:$B$8,2,0),"2 ー 5")</f>
        <v/>
      </c>
      <c r="I26" s="14">
        <f>IFERROR(VLOOKUP(4,勝敗表!$A$3:$B$8,2,0)&amp;"・"&amp;VLOOKUP(6,勝敗表!$A$3:$B$8,2,0),"4・6")</f>
        <v/>
      </c>
      <c r="J26" s="2" t="n"/>
      <c r="K26" s="9" t="n">
        <v>23</v>
      </c>
      <c r="L26" s="9" t="inlineStr">
        <is>
          <t>木</t>
        </is>
      </c>
      <c r="M26" s="10" t="n"/>
      <c r="N26" s="11" t="n"/>
    </row>
    <row r="27" ht="15.5" customHeight="1">
      <c r="A27" s="19" t="n">
        <v>24</v>
      </c>
      <c r="B27" s="20" t="inlineStr">
        <is>
          <t>日</t>
        </is>
      </c>
      <c r="C27" s="21" t="n"/>
      <c r="D27" s="22" t="n"/>
      <c r="E27" s="2" t="n"/>
      <c r="F27" s="12" t="n">
        <v>24</v>
      </c>
      <c r="G27" s="12" t="inlineStr">
        <is>
          <t>水</t>
        </is>
      </c>
      <c r="H27" s="13">
        <f>IFERROR(VLOOKUP(1,勝敗表!$A$3:$B$8,2,0)&amp;"  ー  "&amp;VLOOKUP(4,勝敗表!$A$3:$B$8,2,0),"1 ー 4")</f>
        <v/>
      </c>
      <c r="I27" s="14">
        <f>IFERROR(VLOOKUP(2,勝敗表!$A$3:$B$8,2,0)&amp;"・"&amp;VLOOKUP(5,勝敗表!$A$3:$B$8,2,0),"2・5")</f>
        <v/>
      </c>
      <c r="J27" s="2" t="n"/>
      <c r="K27" s="23" t="n">
        <v>24</v>
      </c>
      <c r="L27" s="23" t="inlineStr">
        <is>
          <t>金</t>
        </is>
      </c>
      <c r="M27" s="24" t="n"/>
      <c r="N27" s="25" t="n"/>
    </row>
    <row r="28" ht="15.5" customHeight="1">
      <c r="A28" s="9" t="n">
        <v>25</v>
      </c>
      <c r="B28" s="9" t="inlineStr">
        <is>
          <t>月</t>
        </is>
      </c>
      <c r="C28" s="10" t="n"/>
      <c r="D28" s="11" t="n"/>
      <c r="E28" s="2" t="n"/>
      <c r="F28" s="12" t="n">
        <v>25</v>
      </c>
      <c r="G28" s="12" t="inlineStr">
        <is>
          <t>木</t>
        </is>
      </c>
      <c r="H28" s="13">
        <f>IFERROR(VLOOKUP(3,勝敗表!$A$3:$B$8,2,0)&amp;"  ー  "&amp;VLOOKUP(6,勝敗表!$A$3:$B$8,2,0),"3 ー 6")</f>
        <v/>
      </c>
      <c r="I28" s="14">
        <f>IFERROR(VLOOKUP(1,勝敗表!$A$3:$B$8,2,0)&amp;"・"&amp;VLOOKUP(4,勝敗表!$A$3:$B$8,2,0),"1・4")</f>
        <v/>
      </c>
      <c r="J28" s="2" t="n"/>
      <c r="K28" s="15" t="n">
        <v>25</v>
      </c>
      <c r="L28" s="16" t="inlineStr">
        <is>
          <t>土</t>
        </is>
      </c>
      <c r="M28" s="17" t="n"/>
      <c r="N28" s="18" t="n"/>
    </row>
    <row r="29" ht="15.5" customHeight="1">
      <c r="A29" s="12" t="n">
        <v>26</v>
      </c>
      <c r="B29" s="12" t="inlineStr">
        <is>
          <t>火</t>
        </is>
      </c>
      <c r="C29" s="13">
        <f>IFERROR(VLOOKUP(1,勝敗表!$A$3:$B$8,2,0)&amp;"  ー  "&amp;VLOOKUP(3,勝敗表!$A$3:$B$8,2,0),"1 ー 3")</f>
        <v/>
      </c>
      <c r="D29" s="14">
        <f>IFERROR(VLOOKUP(2,勝敗表!$A$3:$B$8,2,0)&amp;"・"&amp;VLOOKUP(6,勝敗表!$A$3:$B$8,2,0),"2・6")</f>
        <v/>
      </c>
      <c r="E29" s="2" t="n"/>
      <c r="F29" s="23" t="n">
        <v>26</v>
      </c>
      <c r="G29" s="23" t="inlineStr">
        <is>
          <t>金</t>
        </is>
      </c>
      <c r="H29" s="24" t="n"/>
      <c r="I29" s="25" t="n"/>
      <c r="J29" s="2" t="n"/>
      <c r="K29" s="19" t="n">
        <v>26</v>
      </c>
      <c r="L29" s="20" t="inlineStr">
        <is>
          <t>日</t>
        </is>
      </c>
      <c r="M29" s="21" t="n"/>
      <c r="N29" s="22" t="n"/>
    </row>
    <row r="30" ht="15.5" customHeight="1">
      <c r="A30" s="12" t="n">
        <v>27</v>
      </c>
      <c r="B30" s="12" t="inlineStr">
        <is>
          <t>水</t>
        </is>
      </c>
      <c r="C30" s="13">
        <f>IFERROR(VLOOKUP(5,勝敗表!$A$3:$B$8,2,0)&amp;"  ー  "&amp;VLOOKUP(6,勝敗表!$A$3:$B$8,2,0),"5 ー 6")</f>
        <v/>
      </c>
      <c r="D30" s="14">
        <f>IFERROR(VLOOKUP(1,勝敗表!$A$3:$B$8,2,0)&amp;"・"&amp;VLOOKUP(3,勝敗表!$A$3:$B$8,2,0),"1・3")</f>
        <v/>
      </c>
      <c r="E30" s="2" t="n"/>
      <c r="F30" s="15" t="n">
        <v>27</v>
      </c>
      <c r="G30" s="16" t="inlineStr">
        <is>
          <t>土</t>
        </is>
      </c>
      <c r="H30" s="17" t="n"/>
      <c r="I30" s="18" t="n"/>
      <c r="J30" s="2" t="n"/>
      <c r="K30" s="9" t="n">
        <v>27</v>
      </c>
      <c r="L30" s="9" t="inlineStr">
        <is>
          <t>月</t>
        </is>
      </c>
      <c r="M30" s="10" t="n"/>
      <c r="N30" s="11" t="n"/>
    </row>
    <row r="31" ht="15.5" customHeight="1">
      <c r="A31" s="12" t="n">
        <v>28</v>
      </c>
      <c r="B31" s="12" t="inlineStr">
        <is>
          <t>木</t>
        </is>
      </c>
      <c r="C31" s="13">
        <f>IFERROR(VLOOKUP(2,勝敗表!$A$3:$B$8,2,0)&amp;"  ー  "&amp;VLOOKUP(4,勝敗表!$A$3:$B$8,2,0),"2 ー 4")</f>
        <v/>
      </c>
      <c r="D31" s="14">
        <f>IFERROR(VLOOKUP(5,勝敗表!$A$3:$B$8,2,0)&amp;"・"&amp;VLOOKUP(6,勝敗表!$A$3:$B$8,2,0),"5・6")</f>
        <v/>
      </c>
      <c r="E31" s="2" t="n"/>
      <c r="F31" s="19" t="n">
        <v>28</v>
      </c>
      <c r="G31" s="20" t="inlineStr">
        <is>
          <t>日</t>
        </is>
      </c>
      <c r="H31" s="21" t="n"/>
      <c r="I31" s="22" t="n"/>
      <c r="J31" s="2" t="n"/>
      <c r="K31" s="23" t="n">
        <v>28</v>
      </c>
      <c r="L31" s="23" t="inlineStr">
        <is>
          <t>火</t>
        </is>
      </c>
      <c r="M31" s="24" t="n"/>
      <c r="N31" s="25" t="n"/>
    </row>
    <row r="32" ht="15.5" customHeight="1">
      <c r="A32" s="9" t="n">
        <v>29</v>
      </c>
      <c r="B32" s="9" t="inlineStr">
        <is>
          <t>金</t>
        </is>
      </c>
      <c r="C32" s="10" t="n"/>
      <c r="D32" s="11" t="n"/>
      <c r="E32" s="2" t="n"/>
      <c r="F32" s="9" t="n">
        <v>29</v>
      </c>
      <c r="G32" s="9" t="inlineStr">
        <is>
          <t>月</t>
        </is>
      </c>
      <c r="H32" s="10" t="n"/>
      <c r="I32" s="11" t="n"/>
      <c r="J32" s="2" t="n"/>
      <c r="K32" s="9" t="n">
        <v>29</v>
      </c>
      <c r="L32" s="9" t="inlineStr">
        <is>
          <t>水</t>
        </is>
      </c>
      <c r="M32" s="10" t="n"/>
      <c r="N32" s="11" t="n"/>
    </row>
    <row r="33" ht="15.5" customHeight="1">
      <c r="A33" s="15" t="n">
        <v>30</v>
      </c>
      <c r="B33" s="16" t="inlineStr">
        <is>
          <t>土</t>
        </is>
      </c>
      <c r="C33" s="17" t="n"/>
      <c r="D33" s="18" t="n"/>
      <c r="E33" s="2" t="n"/>
      <c r="F33" s="12" t="n">
        <v>30</v>
      </c>
      <c r="G33" s="12" t="inlineStr">
        <is>
          <t>火</t>
        </is>
      </c>
      <c r="H33" s="13">
        <f>IFERROR(VLOOKUP(1,勝敗表!$A$3:$B$8,2,0)&amp;"  ー  "&amp;VLOOKUP(5,勝敗表!$A$3:$B$8,2,0),"1 ー 5")</f>
        <v/>
      </c>
      <c r="I33" s="14">
        <f>IFERROR(VLOOKUP(3,勝敗表!$A$3:$B$8,2,0)&amp;"・"&amp;VLOOKUP(6,勝敗表!$A$3:$B$8,2,0),"3・6")</f>
        <v/>
      </c>
      <c r="J33" s="2" t="n"/>
      <c r="K33" s="23" t="n">
        <v>30</v>
      </c>
      <c r="L33" s="23" t="inlineStr">
        <is>
          <t>木</t>
        </is>
      </c>
      <c r="M33" s="24" t="n"/>
      <c r="N33" s="25" t="n"/>
    </row>
    <row r="34" ht="15.5" customHeight="1">
      <c r="A34" s="19" t="n">
        <v>31</v>
      </c>
      <c r="B34" s="20" t="inlineStr">
        <is>
          <t>日</t>
        </is>
      </c>
      <c r="C34" s="21" t="n"/>
      <c r="D34" s="22" t="n"/>
      <c r="E34" s="2" t="n"/>
      <c r="J34" s="2" t="n"/>
      <c r="K34" s="9" t="n">
        <v>31</v>
      </c>
      <c r="L34" s="9" t="inlineStr">
        <is>
          <t>金</t>
        </is>
      </c>
      <c r="M34" s="10" t="n"/>
      <c r="N34" s="11" t="n"/>
    </row>
    <row r="35" ht="15.5" customHeight="1">
      <c r="E35" s="2" t="n"/>
      <c r="J35" s="2" t="n"/>
    </row>
    <row r="36" ht="12" customHeight="1">
      <c r="A36" s="29" t="inlineStr">
        <is>
          <t xml:space="preserve">　試合あり</t>
        </is>
      </c>
      <c r="E36" s="2" t="n"/>
      <c r="F36" s="30" t="inlineStr">
        <is>
          <t xml:space="preserve">　予備日</t>
        </is>
      </c>
      <c r="J36" s="2" t="n"/>
      <c r="K36" s="31" t="inlineStr">
        <is>
          <t xml:space="preserve">　土曜　　　日曜</t>
        </is>
      </c>
      <c r="L36" s="32" t="n"/>
      <c r="M36" s="33" t="n"/>
    </row>
    <row r="37" ht="14" customHeight="1">
      <c r="A37" s="34" t="inlineStr">
        <is>
          <t>◆ メンバー表交換 5:10　◆ 試合時間 5:15～6:45　◆ 6:40を超えて新しいイニングには入らない　◆ 捕手は防具着用で整列</t>
        </is>
      </c>
    </row>
  </sheetData>
  <mergeCells count="15">
    <mergeCell ref="R5"/>
    <mergeCell ref="R4"/>
    <mergeCell ref="K36:N36"/>
    <mergeCell ref="Q2:R2"/>
    <mergeCell ref="R8"/>
    <mergeCell ref="F2:I2"/>
    <mergeCell ref="R7"/>
    <mergeCell ref="R6"/>
    <mergeCell ref="K2:N2"/>
    <mergeCell ref="A2:D2"/>
    <mergeCell ref="F36:I36"/>
    <mergeCell ref="A37:N37"/>
    <mergeCell ref="R3"/>
    <mergeCell ref="A36:D36"/>
    <mergeCell ref="A1:N1"/>
  </mergeCells>
  <pageMargins left="0.5" right="0.5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7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.5" customWidth="1" min="3" max="3"/>
    <col width="9" customWidth="1" min="4" max="4"/>
    <col width="14" customWidth="1" min="5" max="5"/>
    <col width="5.5" customWidth="1" min="6" max="6"/>
    <col width="5.5" customWidth="1" min="7" max="7"/>
    <col width="14" customWidth="1" min="8" max="8"/>
    <col width="5" customWidth="1" min="9" max="9"/>
    <col width="5" customWidth="1" min="10" max="10"/>
    <col width="1.5" customWidth="1" min="11" max="11"/>
    <col width="4" customWidth="1" min="12" max="12"/>
    <col width="16" customWidth="1" min="13" max="13"/>
    <col width="5" customWidth="1" min="14" max="14"/>
    <col width="5" customWidth="1" min="15" max="15"/>
    <col width="5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</cols>
  <sheetData>
    <row r="1" ht="40" customHeight="1">
      <c r="A1" s="1" t="inlineStr">
        <is>
          <t>令　和　８　年　　朝　野　球　リーグ　勝　敗　表</t>
        </is>
      </c>
      <c r="C1" s="2" t="n"/>
      <c r="K1" s="2" t="n"/>
    </row>
    <row r="2" ht="22" customHeight="1">
      <c r="A2" s="35" t="inlineStr">
        <is>
          <t>★ チーム登録（ここにチーム名を入力してください）</t>
        </is>
      </c>
      <c r="C2" s="2" t="n"/>
      <c r="D2" s="36" t="inlineStr">
        <is>
          <t>◆ 試合結果入力  ／  ◆ 成績表（右）は自動計算</t>
        </is>
      </c>
      <c r="K2" s="2" t="n"/>
      <c r="L2" s="37" t="inlineStr">
        <is>
          <t>★ 成績表</t>
        </is>
      </c>
    </row>
    <row r="3" ht="20" customHeight="1">
      <c r="A3" s="38" t="n">
        <v>1</v>
      </c>
      <c r="B3" s="39" t="inlineStr">
        <is>
          <t>野宮塗装</t>
        </is>
      </c>
      <c r="C3" s="2" t="n"/>
      <c r="K3" s="2" t="n"/>
    </row>
    <row r="4" ht="20" customHeight="1">
      <c r="A4" s="38" t="n">
        <v>2</v>
      </c>
      <c r="B4" s="39" t="inlineStr">
        <is>
          <t>飯詰</t>
        </is>
      </c>
      <c r="C4" s="2" t="n"/>
      <c r="K4" s="2" t="n"/>
    </row>
    <row r="5" ht="20" customHeight="1">
      <c r="A5" s="38" t="n">
        <v>3</v>
      </c>
      <c r="B5" s="39" t="inlineStr">
        <is>
          <t>バッカス</t>
        </is>
      </c>
      <c r="C5" s="2" t="n"/>
      <c r="K5" s="2" t="n"/>
    </row>
    <row r="6" ht="20" customHeight="1">
      <c r="A6" s="38" t="n">
        <v>4</v>
      </c>
      <c r="B6" s="39" t="inlineStr">
        <is>
          <t>ウエスタン</t>
        </is>
      </c>
      <c r="C6" s="2" t="n"/>
      <c r="K6" s="2" t="n"/>
    </row>
    <row r="7" ht="20" customHeight="1">
      <c r="A7" s="38" t="n">
        <v>5</v>
      </c>
      <c r="B7" s="39" t="inlineStr">
        <is>
          <t>富士電機</t>
        </is>
      </c>
      <c r="C7" s="2" t="n"/>
      <c r="K7" s="2" t="n"/>
    </row>
    <row r="8" ht="20" customHeight="1">
      <c r="A8" s="38" t="n">
        <v>6</v>
      </c>
      <c r="B8" s="39" t="inlineStr">
        <is>
          <t>日産</t>
        </is>
      </c>
      <c r="C8" s="2" t="n"/>
      <c r="K8" s="2" t="n"/>
    </row>
    <row r="9" ht="16" customHeight="1">
      <c r="C9" s="2" t="n"/>
      <c r="D9" s="6" t="inlineStr">
        <is>
          <t>日付</t>
        </is>
      </c>
      <c r="E9" s="6" t="inlineStr">
        <is>
          <t>チームA</t>
        </is>
      </c>
      <c r="F9" s="40" t="inlineStr">
        <is>
          <t>得点A</t>
        </is>
      </c>
      <c r="G9" s="40" t="inlineStr">
        <is>
          <t>得点B</t>
        </is>
      </c>
      <c r="H9" s="6" t="inlineStr">
        <is>
          <t>チームB</t>
        </is>
      </c>
      <c r="I9" s="6" t="inlineStr">
        <is>
          <t>結果A</t>
        </is>
      </c>
      <c r="J9" s="6" t="inlineStr">
        <is>
          <t>結果B</t>
        </is>
      </c>
      <c r="K9" s="2" t="n"/>
      <c r="L9" s="6" t="inlineStr">
        <is>
          <t>No.</t>
        </is>
      </c>
      <c r="M9" s="6" t="inlineStr">
        <is>
          <t>チーム名</t>
        </is>
      </c>
      <c r="N9" s="6" t="inlineStr">
        <is>
          <t>勝</t>
        </is>
      </c>
      <c r="O9" s="6" t="inlineStr">
        <is>
          <t>分</t>
        </is>
      </c>
      <c r="P9" s="6" t="inlineStr">
        <is>
          <t>敗</t>
        </is>
      </c>
      <c r="Q9" s="6" t="inlineStr">
        <is>
          <t>勝点</t>
        </is>
      </c>
      <c r="R9" s="6" t="inlineStr">
        <is>
          <t>得点</t>
        </is>
      </c>
      <c r="S9" s="6" t="inlineStr">
        <is>
          <t>失点</t>
        </is>
      </c>
      <c r="T9" s="6" t="inlineStr">
        <is>
          <t>残試合</t>
        </is>
      </c>
      <c r="U9" s="6" t="inlineStr">
        <is>
          <t>順位</t>
        </is>
      </c>
    </row>
    <row r="10" ht="18" customHeight="1">
      <c r="C10" s="2" t="n"/>
      <c r="D10" s="41" t="inlineStr">
        <is>
          <t>5/26(火)</t>
        </is>
      </c>
      <c r="E10" s="42">
        <f>IFERROR(VLOOKUP(1,$A$3:$B$8,2,0),"1")</f>
        <v/>
      </c>
      <c r="F10" s="43" t="n"/>
      <c r="G10" s="43" t="n"/>
      <c r="H10" s="42">
        <f>IFERROR(VLOOKUP(3,$A$3:$B$8,2,0),"3")</f>
        <v/>
      </c>
      <c r="I10" s="44">
        <f>IF(F10="","",IF(F10&gt;G10,"○",IF(F10=G10,"△","×")))</f>
        <v/>
      </c>
      <c r="J10" s="44">
        <f>IF(G10="","",IF(G10&gt;F10,"○",IF(G10=F10,"△","×")))</f>
        <v/>
      </c>
      <c r="K10" s="2" t="n"/>
      <c r="L10" s="45" t="n">
        <v>1</v>
      </c>
      <c r="M10" s="46">
        <f>IFERROR(VLOOKUP(1,$A$3:$B$8,2,0),"")</f>
        <v/>
      </c>
      <c r="N10" s="47">
        <f>IF(I10="○",1,0)+IF(I13="○",1,0)+IF(I16="○",1,0)+IF(I20="○",1,0)+IF(I22="○",1,0)</f>
        <v/>
      </c>
      <c r="O10" s="9">
        <f>IF(I10="△",1,0)+IF(I13="△",1,0)+IF(I16="△",1,0)+IF(I20="△",1,0)+IF(I22="△",1,0)</f>
        <v/>
      </c>
      <c r="P10" s="48">
        <f>IF(I10="×",1,0)+IF(I13="×",1,0)+IF(I16="×",1,0)+IF(I20="×",1,0)+IF(I22="×",1,0)</f>
        <v/>
      </c>
      <c r="Q10" s="49">
        <f>N10*3+O10</f>
        <v/>
      </c>
      <c r="R10" s="9">
        <f>IF(F10&lt;&gt;"",F10,0)+IF(F13&lt;&gt;"",F13,0)+IF(F16&lt;&gt;"",F16,0)+IF(F20&lt;&gt;"",F20,0)+IF(F22&lt;&gt;"",F22,0)</f>
        <v/>
      </c>
      <c r="S10" s="9">
        <f>IF(G10&lt;&gt;"",G10,0)+IF(G13&lt;&gt;"",G13,0)+IF(G16&lt;&gt;"",G16,0)+IF(G20&lt;&gt;"",G20,0)+IF(G22&lt;&gt;"",G22,0)</f>
        <v/>
      </c>
      <c r="T10" s="9">
        <f>5-N10-O10-P10</f>
        <v/>
      </c>
      <c r="U10" s="50">
        <f>IFERROR(RANK(Q10,$Q$10:$Q$15,0),"")</f>
        <v/>
      </c>
    </row>
    <row r="11" ht="18" customHeight="1">
      <c r="C11" s="2" t="n"/>
      <c r="D11" s="51" t="inlineStr">
        <is>
          <t>5/27(水)</t>
        </is>
      </c>
      <c r="E11" s="52">
        <f>IFERROR(VLOOKUP(5,$A$3:$B$8,2,0),"5")</f>
        <v/>
      </c>
      <c r="F11" s="43" t="n"/>
      <c r="G11" s="43" t="n"/>
      <c r="H11" s="52">
        <f>IFERROR(VLOOKUP(6,$A$3:$B$8,2,0),"6")</f>
        <v/>
      </c>
      <c r="I11" s="53">
        <f>IF(F11="","",IF(F11&gt;G11,"○",IF(F11=G11,"△","×")))</f>
        <v/>
      </c>
      <c r="J11" s="53">
        <f>IF(G11="","",IF(G11&gt;F11,"○",IF(G11=F11,"△","×")))</f>
        <v/>
      </c>
      <c r="K11" s="2" t="n"/>
      <c r="L11" s="45" t="n">
        <v>2</v>
      </c>
      <c r="M11" s="54">
        <f>IFERROR(VLOOKUP(2,$A$3:$B$8,2,0),"")</f>
        <v/>
      </c>
      <c r="N11" s="55">
        <f>IF(I12="○",1,0)+IF(I14="○",1,0)+IF(I19="○",1,0)+IF(I24="○",1,0)+IF(J16="○",1,0)</f>
        <v/>
      </c>
      <c r="O11" s="23">
        <f>IF(I12="△",1,0)+IF(I14="△",1,0)+IF(I19="△",1,0)+IF(I24="△",1,0)+IF(J16="△",1,0)</f>
        <v/>
      </c>
      <c r="P11" s="56">
        <f>IF(I12="×",1,0)+IF(I14="×",1,0)+IF(I19="×",1,0)+IF(I24="×",1,0)+IF(J16="×",1,0)</f>
        <v/>
      </c>
      <c r="Q11" s="57">
        <f>N11*3+O11</f>
        <v/>
      </c>
      <c r="R11" s="23">
        <f>IF(F12&lt;&gt;"",F12,0)+IF(F14&lt;&gt;"",F14,0)+IF(F19&lt;&gt;"",F19,0)+IF(F24&lt;&gt;"",F24,0)+IF(G16&lt;&gt;"",G16,0)</f>
        <v/>
      </c>
      <c r="S11" s="23">
        <f>IF(G12&lt;&gt;"",G12,0)+IF(G14&lt;&gt;"",G14,0)+IF(G19&lt;&gt;"",G19,0)+IF(G24&lt;&gt;"",G24,0)+IF(F16&lt;&gt;"",F16,0)</f>
        <v/>
      </c>
      <c r="T11" s="23">
        <f>5-N11-O11-P11</f>
        <v/>
      </c>
      <c r="U11" s="58">
        <f>IFERROR(RANK(Q11,$Q$10:$Q$15,0),"")</f>
        <v/>
      </c>
    </row>
    <row r="12" ht="18" customHeight="1">
      <c r="C12" s="2" t="n"/>
      <c r="D12" s="41" t="inlineStr">
        <is>
          <t>5/28(木)</t>
        </is>
      </c>
      <c r="E12" s="42">
        <f>IFERROR(VLOOKUP(2,$A$3:$B$8,2,0),"2")</f>
        <v/>
      </c>
      <c r="F12" s="43" t="n"/>
      <c r="G12" s="43" t="n"/>
      <c r="H12" s="42">
        <f>IFERROR(VLOOKUP(4,$A$3:$B$8,2,0),"4")</f>
        <v/>
      </c>
      <c r="I12" s="44">
        <f>IF(F12="","",IF(F12&gt;G12,"○",IF(F12=G12,"△","×")))</f>
        <v/>
      </c>
      <c r="J12" s="44">
        <f>IF(G12="","",IF(G12&gt;F12,"○",IF(G12=F12,"△","×")))</f>
        <v/>
      </c>
      <c r="K12" s="2" t="n"/>
      <c r="L12" s="45" t="n">
        <v>3</v>
      </c>
      <c r="M12" s="46">
        <f>IFERROR(VLOOKUP(3,$A$3:$B$8,2,0),"")</f>
        <v/>
      </c>
      <c r="N12" s="47">
        <f>IF(I17="○",1,0)+IF(I21="○",1,0)+IF(I23="○",1,0)+IF(J10="○",1,0)+IF(J14="○",1,0)</f>
        <v/>
      </c>
      <c r="O12" s="9">
        <f>IF(I17="△",1,0)+IF(I21="△",1,0)+IF(I23="△",1,0)+IF(J10="△",1,0)+IF(J14="△",1,0)</f>
        <v/>
      </c>
      <c r="P12" s="48">
        <f>IF(I17="×",1,0)+IF(I21="×",1,0)+IF(I23="×",1,0)+IF(J10="×",1,0)+IF(J14="×",1,0)</f>
        <v/>
      </c>
      <c r="Q12" s="49">
        <f>N12*3+O12</f>
        <v/>
      </c>
      <c r="R12" s="9">
        <f>IF(F17&lt;&gt;"",F17,0)+IF(F21&lt;&gt;"",F21,0)+IF(F23&lt;&gt;"",F23,0)+IF(G10&lt;&gt;"",G10,0)+IF(G14&lt;&gt;"",G14,0)</f>
        <v/>
      </c>
      <c r="S12" s="9">
        <f>IF(G17&lt;&gt;"",G17,0)+IF(G21&lt;&gt;"",G21,0)+IF(G23&lt;&gt;"",G23,0)+IF(F10&lt;&gt;"",F10,0)+IF(F14&lt;&gt;"",F14,0)</f>
        <v/>
      </c>
      <c r="T12" s="9">
        <f>5-N12-O12-P12</f>
        <v/>
      </c>
      <c r="U12" s="50">
        <f>IFERROR(RANK(Q12,$Q$10:$Q$15,0),"")</f>
        <v/>
      </c>
    </row>
    <row r="13" ht="18" customHeight="1">
      <c r="C13" s="2" t="n"/>
      <c r="D13" s="51" t="inlineStr">
        <is>
          <t>6/2(火)</t>
        </is>
      </c>
      <c r="E13" s="52">
        <f>IFERROR(VLOOKUP(1,$A$3:$B$8,2,0),"1")</f>
        <v/>
      </c>
      <c r="F13" s="43" t="n"/>
      <c r="G13" s="43" t="n"/>
      <c r="H13" s="52">
        <f>IFERROR(VLOOKUP(6,$A$3:$B$8,2,0),"6")</f>
        <v/>
      </c>
      <c r="I13" s="53">
        <f>IF(F13="","",IF(F13&gt;G13,"○",IF(F13=G13,"△","×")))</f>
        <v/>
      </c>
      <c r="J13" s="53">
        <f>IF(G13="","",IF(G13&gt;F13,"○",IF(G13=F13,"△","×")))</f>
        <v/>
      </c>
      <c r="K13" s="2" t="n"/>
      <c r="L13" s="45" t="n">
        <v>4</v>
      </c>
      <c r="M13" s="54">
        <f>IFERROR(VLOOKUP(4,$A$3:$B$8,2,0),"")</f>
        <v/>
      </c>
      <c r="N13" s="55">
        <f>IF(I15="○",1,0)+IF(I18="○",1,0)+IF(J12="○",1,0)+IF(J20="○",1,0)+IF(J23="○",1,0)</f>
        <v/>
      </c>
      <c r="O13" s="23">
        <f>IF(I15="△",1,0)+IF(I18="△",1,0)+IF(J12="△",1,0)+IF(J20="△",1,0)+IF(J23="△",1,0)</f>
        <v/>
      </c>
      <c r="P13" s="56">
        <f>IF(I15="×",1,0)+IF(I18="×",1,0)+IF(J12="×",1,0)+IF(J20="×",1,0)+IF(J23="×",1,0)</f>
        <v/>
      </c>
      <c r="Q13" s="57">
        <f>N13*3+O13</f>
        <v/>
      </c>
      <c r="R13" s="23">
        <f>IF(F15&lt;&gt;"",F15,0)+IF(F18&lt;&gt;"",F18,0)+IF(G12&lt;&gt;"",G12,0)+IF(G20&lt;&gt;"",G20,0)+IF(G23&lt;&gt;"",G23,0)</f>
        <v/>
      </c>
      <c r="S13" s="23">
        <f>IF(G15&lt;&gt;"",G15,0)+IF(G18&lt;&gt;"",G18,0)+IF(F12&lt;&gt;"",F12,0)+IF(F20&lt;&gt;"",F20,0)+IF(F23&lt;&gt;"",F23,0)</f>
        <v/>
      </c>
      <c r="T13" s="23">
        <f>5-N13-O13-P13</f>
        <v/>
      </c>
      <c r="U13" s="58">
        <f>IFERROR(RANK(Q13,$Q$10:$Q$15,0),"")</f>
        <v/>
      </c>
    </row>
    <row r="14" ht="18" customHeight="1">
      <c r="C14" s="2" t="n"/>
      <c r="D14" s="41" t="inlineStr">
        <is>
          <t>6/3(水)</t>
        </is>
      </c>
      <c r="E14" s="42">
        <f>IFERROR(VLOOKUP(2,$A$3:$B$8,2,0),"2")</f>
        <v/>
      </c>
      <c r="F14" s="43" t="n"/>
      <c r="G14" s="43" t="n"/>
      <c r="H14" s="42">
        <f>IFERROR(VLOOKUP(3,$A$3:$B$8,2,0),"3")</f>
        <v/>
      </c>
      <c r="I14" s="44">
        <f>IF(F14="","",IF(F14&gt;G14,"○",IF(F14=G14,"△","×")))</f>
        <v/>
      </c>
      <c r="J14" s="44">
        <f>IF(G14="","",IF(G14&gt;F14,"○",IF(G14=F14,"△","×")))</f>
        <v/>
      </c>
      <c r="K14" s="2" t="n"/>
      <c r="L14" s="45" t="n">
        <v>5</v>
      </c>
      <c r="M14" s="46">
        <f>IFERROR(VLOOKUP(5,$A$3:$B$8,2,0),"")</f>
        <v/>
      </c>
      <c r="N14" s="47">
        <f>IF(I11="○",1,0)+IF(J15="○",1,0)+IF(J17="○",1,0)+IF(J19="○",1,0)+IF(J22="○",1,0)</f>
        <v/>
      </c>
      <c r="O14" s="9">
        <f>IF(I11="△",1,0)+IF(J15="△",1,0)+IF(J17="△",1,0)+IF(J19="△",1,0)+IF(J22="△",1,0)</f>
        <v/>
      </c>
      <c r="P14" s="48">
        <f>IF(I11="×",1,0)+IF(J15="×",1,0)+IF(J17="×",1,0)+IF(J19="×",1,0)+IF(J22="×",1,0)</f>
        <v/>
      </c>
      <c r="Q14" s="49">
        <f>N14*3+O14</f>
        <v/>
      </c>
      <c r="R14" s="9">
        <f>IF(F11&lt;&gt;"",F11,0)+IF(G15&lt;&gt;"",G15,0)+IF(G17&lt;&gt;"",G17,0)+IF(G19&lt;&gt;"",G19,0)+IF(G22&lt;&gt;"",G22,0)</f>
        <v/>
      </c>
      <c r="S14" s="9">
        <f>IF(G11&lt;&gt;"",G11,0)+IF(F15&lt;&gt;"",F15,0)+IF(F17&lt;&gt;"",F17,0)+IF(F19&lt;&gt;"",F19,0)+IF(F22&lt;&gt;"",F22,0)</f>
        <v/>
      </c>
      <c r="T14" s="9">
        <f>5-N14-O14-P14</f>
        <v/>
      </c>
      <c r="U14" s="50">
        <f>IFERROR(RANK(Q14,$Q$10:$Q$15,0),"")</f>
        <v/>
      </c>
    </row>
    <row r="15" ht="18" customHeight="1">
      <c r="C15" s="2" t="n"/>
      <c r="D15" s="51" t="inlineStr">
        <is>
          <t>6/4(木)</t>
        </is>
      </c>
      <c r="E15" s="52">
        <f>IFERROR(VLOOKUP(4,$A$3:$B$8,2,0),"4")</f>
        <v/>
      </c>
      <c r="F15" s="43" t="n"/>
      <c r="G15" s="43" t="n"/>
      <c r="H15" s="52">
        <f>IFERROR(VLOOKUP(5,$A$3:$B$8,2,0),"5")</f>
        <v/>
      </c>
      <c r="I15" s="53">
        <f>IF(F15="","",IF(F15&gt;G15,"○",IF(F15=G15,"△","×")))</f>
        <v/>
      </c>
      <c r="J15" s="53">
        <f>IF(G15="","",IF(G15&gt;F15,"○",IF(G15=F15,"△","×")))</f>
        <v/>
      </c>
      <c r="K15" s="2" t="n"/>
      <c r="L15" s="45" t="n">
        <v>6</v>
      </c>
      <c r="M15" s="54">
        <f>IFERROR(VLOOKUP(6,$A$3:$B$8,2,0),"")</f>
        <v/>
      </c>
      <c r="N15" s="55">
        <f>IF(J11="○",1,0)+IF(J13="○",1,0)+IF(J18="○",1,0)+IF(J21="○",1,0)+IF(J24="○",1,0)</f>
        <v/>
      </c>
      <c r="O15" s="23">
        <f>IF(J11="△",1,0)+IF(J13="△",1,0)+IF(J18="△",1,0)+IF(J21="△",1,0)+IF(J24="△",1,0)</f>
        <v/>
      </c>
      <c r="P15" s="56">
        <f>IF(J11="×",1,0)+IF(J13="×",1,0)+IF(J18="×",1,0)+IF(J21="×",1,0)+IF(J24="×",1,0)</f>
        <v/>
      </c>
      <c r="Q15" s="57">
        <f>N15*3+O15</f>
        <v/>
      </c>
      <c r="R15" s="23">
        <f>IF(G11&lt;&gt;"",G11,0)+IF(G13&lt;&gt;"",G13,0)+IF(G18&lt;&gt;"",G18,0)+IF(G21&lt;&gt;"",G21,0)+IF(G24&lt;&gt;"",G24,0)</f>
        <v/>
      </c>
      <c r="S15" s="23">
        <f>IF(F11&lt;&gt;"",F11,0)+IF(F13&lt;&gt;"",F13,0)+IF(F18&lt;&gt;"",F18,0)+IF(F21&lt;&gt;"",F21,0)+IF(F24&lt;&gt;"",F24,0)</f>
        <v/>
      </c>
      <c r="T15" s="23">
        <f>5-N15-O15-P15</f>
        <v/>
      </c>
      <c r="U15" s="58">
        <f>IFERROR(RANK(Q15,$Q$10:$Q$15,0),"")</f>
        <v/>
      </c>
    </row>
    <row r="16" ht="18" customHeight="1">
      <c r="C16" s="2" t="n"/>
      <c r="D16" s="51" t="inlineStr">
        <is>
          <t>6/9(火)</t>
        </is>
      </c>
      <c r="E16" s="52">
        <f>IFERROR(VLOOKUP(1,$A$3:$B$8,2,0),"1")</f>
        <v/>
      </c>
      <c r="F16" s="57" t="n"/>
      <c r="G16" s="57" t="n"/>
      <c r="H16" s="52">
        <f>IFERROR(VLOOKUP(2,$A$3:$B$8,2,0),"2")</f>
        <v/>
      </c>
      <c r="I16" s="53">
        <f>IF(F16="","",IF(F16&gt;G16,"○",IF(F16=G16,"△","×")))</f>
        <v/>
      </c>
      <c r="J16" s="53">
        <f>IF(G16="","",IF(G16&gt;F16,"○",IF(G16=F16,"△","×")))</f>
        <v/>
      </c>
      <c r="K16" s="2" t="n"/>
    </row>
    <row r="17" ht="18" customHeight="1">
      <c r="C17" s="2" t="n"/>
      <c r="D17" s="51" t="inlineStr">
        <is>
          <t>6/10(水)</t>
        </is>
      </c>
      <c r="E17" s="52">
        <f>IFERROR(VLOOKUP(3,$A$3:$B$8,2,0),"3")</f>
        <v/>
      </c>
      <c r="F17" s="57" t="n"/>
      <c r="G17" s="57" t="n"/>
      <c r="H17" s="52">
        <f>IFERROR(VLOOKUP(5,$A$3:$B$8,2,0),"5")</f>
        <v/>
      </c>
      <c r="I17" s="53">
        <f>IF(F17="","",IF(F17&gt;G17,"○",IF(F17=G17,"△","×")))</f>
        <v/>
      </c>
      <c r="J17" s="53">
        <f>IF(G17="","",IF(G17&gt;F17,"○",IF(G17=F17,"△","×")))</f>
        <v/>
      </c>
      <c r="K17" s="2" t="n"/>
    </row>
    <row r="18" ht="18" customHeight="1">
      <c r="C18" s="2" t="n"/>
      <c r="D18" s="51" t="inlineStr">
        <is>
          <t>6/11(木)</t>
        </is>
      </c>
      <c r="E18" s="52">
        <f>IFERROR(VLOOKUP(4,$A$3:$B$8,2,0),"4")</f>
        <v/>
      </c>
      <c r="F18" s="57" t="n"/>
      <c r="G18" s="57" t="n"/>
      <c r="H18" s="52">
        <f>IFERROR(VLOOKUP(6,$A$3:$B$8,2,0),"6")</f>
        <v/>
      </c>
      <c r="I18" s="53">
        <f>IF(F18="","",IF(F18&gt;G18,"○",IF(F18=G18,"△","×")))</f>
        <v/>
      </c>
      <c r="J18" s="53">
        <f>IF(G18="","",IF(G18&gt;F18,"○",IF(G18=F18,"△","×")))</f>
        <v/>
      </c>
      <c r="K18" s="2" t="n"/>
    </row>
    <row r="19" ht="18" customHeight="1">
      <c r="C19" s="2" t="n"/>
      <c r="D19" s="51" t="inlineStr">
        <is>
          <t>6/23(火)</t>
        </is>
      </c>
      <c r="E19" s="52">
        <f>IFERROR(VLOOKUP(2,$A$3:$B$8,2,0),"2")</f>
        <v/>
      </c>
      <c r="F19" s="57" t="n"/>
      <c r="G19" s="57" t="n"/>
      <c r="H19" s="52">
        <f>IFERROR(VLOOKUP(5,$A$3:$B$8,2,0),"5")</f>
        <v/>
      </c>
      <c r="I19" s="53">
        <f>IF(F19="","",IF(F19&gt;G19,"○",IF(F19=G19,"△","×")))</f>
        <v/>
      </c>
      <c r="J19" s="53">
        <f>IF(G19="","",IF(G19&gt;F19,"○",IF(G19=F19,"△","×")))</f>
        <v/>
      </c>
      <c r="K19" s="2" t="n"/>
    </row>
    <row r="20" ht="18" customHeight="1">
      <c r="C20" s="2" t="n"/>
      <c r="D20" s="51" t="inlineStr">
        <is>
          <t>6/24(水)</t>
        </is>
      </c>
      <c r="E20" s="52">
        <f>IFERROR(VLOOKUP(1,$A$3:$B$8,2,0),"1")</f>
        <v/>
      </c>
      <c r="F20" s="57" t="n"/>
      <c r="G20" s="57" t="n"/>
      <c r="H20" s="52">
        <f>IFERROR(VLOOKUP(4,$A$3:$B$8,2,0),"4")</f>
        <v/>
      </c>
      <c r="I20" s="53">
        <f>IF(F20="","",IF(F20&gt;G20,"○",IF(F20=G20,"△","×")))</f>
        <v/>
      </c>
      <c r="J20" s="53">
        <f>IF(G20="","",IF(G20&gt;F20,"○",IF(G20=F20,"△","×")))</f>
        <v/>
      </c>
      <c r="K20" s="2" t="n"/>
    </row>
    <row r="21" ht="18" customHeight="1">
      <c r="C21" s="2" t="n"/>
      <c r="D21" s="51" t="inlineStr">
        <is>
          <t>6/25(木)</t>
        </is>
      </c>
      <c r="E21" s="52">
        <f>IFERROR(VLOOKUP(3,$A$3:$B$8,2,0),"3")</f>
        <v/>
      </c>
      <c r="F21" s="57" t="n"/>
      <c r="G21" s="57" t="n"/>
      <c r="H21" s="52">
        <f>IFERROR(VLOOKUP(6,$A$3:$B$8,2,0),"6")</f>
        <v/>
      </c>
      <c r="I21" s="53">
        <f>IF(F21="","",IF(F21&gt;G21,"○",IF(F21=G21,"△","×")))</f>
        <v/>
      </c>
      <c r="J21" s="53">
        <f>IF(G21="","",IF(G21&gt;F21,"○",IF(G21=F21,"△","×")))</f>
        <v/>
      </c>
      <c r="K21" s="2" t="n"/>
    </row>
    <row r="22" ht="18" customHeight="1">
      <c r="C22" s="2" t="n"/>
      <c r="D22" s="51" t="inlineStr">
        <is>
          <t>6/30(火)</t>
        </is>
      </c>
      <c r="E22" s="52">
        <f>IFERROR(VLOOKUP(1,$A$3:$B$8,2,0),"1")</f>
        <v/>
      </c>
      <c r="F22" s="57" t="n"/>
      <c r="G22" s="57" t="n"/>
      <c r="H22" s="52">
        <f>IFERROR(VLOOKUP(5,$A$3:$B$8,2,0),"5")</f>
        <v/>
      </c>
      <c r="I22" s="53">
        <f>IF(F22="","",IF(F22&gt;G22,"○",IF(F22=G22,"△","×")))</f>
        <v/>
      </c>
      <c r="J22" s="53">
        <f>IF(G22="","",IF(G22&gt;F22,"○",IF(G22=F22,"△","×")))</f>
        <v/>
      </c>
      <c r="K22" s="2" t="n"/>
    </row>
    <row r="23" ht="18" customHeight="1">
      <c r="C23" s="2" t="n"/>
      <c r="D23" s="51" t="inlineStr">
        <is>
          <t>7/1(水)</t>
        </is>
      </c>
      <c r="E23" s="52">
        <f>IFERROR(VLOOKUP(3,$A$3:$B$8,2,0),"3")</f>
        <v/>
      </c>
      <c r="F23" s="57" t="n"/>
      <c r="G23" s="57" t="n"/>
      <c r="H23" s="52">
        <f>IFERROR(VLOOKUP(4,$A$3:$B$8,2,0),"4")</f>
        <v/>
      </c>
      <c r="I23" s="53">
        <f>IF(F23="","",IF(F23&gt;G23,"○",IF(F23=G23,"△","×")))</f>
        <v/>
      </c>
      <c r="J23" s="53">
        <f>IF(G23="","",IF(G23&gt;F23,"○",IF(G23=F23,"△","×")))</f>
        <v/>
      </c>
      <c r="K23" s="2" t="n"/>
    </row>
    <row r="24" ht="18" customHeight="1">
      <c r="C24" s="2" t="n"/>
      <c r="D24" s="51" t="inlineStr">
        <is>
          <t>7/2(木)</t>
        </is>
      </c>
      <c r="E24" s="52">
        <f>IFERROR(VLOOKUP(2,$A$3:$B$8,2,0),"2")</f>
        <v/>
      </c>
      <c r="F24" s="57" t="n"/>
      <c r="G24" s="57" t="n"/>
      <c r="H24" s="52">
        <f>IFERROR(VLOOKUP(6,$A$3:$B$8,2,0),"6")</f>
        <v/>
      </c>
      <c r="I24" s="53">
        <f>IF(F24="","",IF(F24&gt;G24,"○",IF(F24=G24,"△","×")))</f>
        <v/>
      </c>
      <c r="J24" s="53">
        <f>IF(G24="","",IF(G24&gt;F24,"○",IF(G24=F24,"△","×")))</f>
        <v/>
      </c>
      <c r="K24" s="2" t="n"/>
    </row>
    <row r="25" ht="18" customHeight="1">
      <c r="C25" s="2" t="n"/>
      <c r="D25" s="59" t="n"/>
      <c r="E25" s="59" t="n"/>
      <c r="F25" s="59" t="n"/>
      <c r="G25" s="59" t="n"/>
      <c r="H25" s="59" t="n"/>
      <c r="I25" s="59" t="n"/>
      <c r="J25" s="59" t="n"/>
      <c r="K25" s="2" t="n"/>
    </row>
    <row r="26" ht="14" customHeight="1">
      <c r="A26" s="34" t="inlineStr">
        <is>
          <t>※ 得点欄（黄色セル）に点数を入力するだけで勝敗・成績表が自動更新されます　◆ 降雨中止の場合は「☂」と入力</t>
        </is>
      </c>
    </row>
    <row r="27" ht="18" customHeight="1">
      <c r="C27" s="2" t="n"/>
      <c r="K27" s="2" t="n"/>
    </row>
    <row r="28" ht="18" customHeight="1">
      <c r="C28" s="2" t="n"/>
      <c r="K28" s="2" t="n"/>
    </row>
    <row r="29" ht="18" customHeight="1">
      <c r="C29" s="2" t="n"/>
      <c r="K29" s="2" t="n"/>
    </row>
    <row r="30" ht="18" customHeight="1">
      <c r="C30" s="2" t="n"/>
      <c r="K30" s="2" t="n"/>
    </row>
    <row r="31" ht="18" customHeight="1">
      <c r="C31" s="2" t="n"/>
      <c r="K31" s="2" t="n"/>
    </row>
    <row r="32" ht="18" customHeight="1">
      <c r="C32" s="2" t="n"/>
      <c r="K32" s="2" t="n"/>
    </row>
    <row r="33" ht="18" customHeight="1">
      <c r="C33" s="2" t="n"/>
      <c r="K33" s="2" t="n"/>
    </row>
    <row r="34" ht="18" customHeight="1">
      <c r="C34" s="2" t="n"/>
      <c r="K34" s="2" t="n"/>
    </row>
    <row r="35" ht="18" customHeight="1">
      <c r="C35" s="2" t="n"/>
      <c r="K35" s="2" t="n"/>
    </row>
    <row r="36" ht="18" customHeight="1">
      <c r="C36" s="2" t="n"/>
      <c r="K36" s="2" t="n"/>
    </row>
    <row r="37" ht="18" customHeight="1">
      <c r="C37" s="2" t="n"/>
      <c r="K37" s="2" t="n"/>
    </row>
    <row r="38" ht="18" customHeight="1"/>
    <row r="39" ht="18" customHeight="1"/>
  </sheetData>
  <mergeCells count="5">
    <mergeCell ref="A2:B2"/>
    <mergeCell ref="A26:U26"/>
    <mergeCell ref="D2:K2"/>
    <mergeCell ref="L2:U2"/>
    <mergeCell ref="A1:U1"/>
  </mergeCells>
  <pageMargins left="0.5" right="0.5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2026-05-15T13:42:26Z</dcterms:created>
  <dcterms:modified xsi:type="dcterms:W3CDTF">2026-05-15T13:42:26Z</dcterms:modified>
</cp:coreProperties>
</file>