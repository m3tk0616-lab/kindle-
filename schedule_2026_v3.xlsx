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程表" sheetId="1" state="visible" r:id="rId1"/>
    <sheet name="勝敗表" sheetId="2" state="visible" r:id="rId2"/>
  </sheets>
  <definedNames>
    <definedName name="_xlnm.Print_Area" localSheetId="0">'日程表'!$A$1:$N$38</definedName>
    <definedName name="_xlnm.Print_Area" localSheetId="1">'勝敗表'!$A$1:$U$30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游ゴシック"/>
      <b val="1"/>
      <color rgb="00FFFFFF"/>
      <sz val="22"/>
    </font>
    <font>
      <name val="游ゴシック"/>
      <b val="1"/>
      <color rgb="00FFFFFF"/>
      <sz val="14"/>
    </font>
    <font>
      <name val="游ゴシック"/>
      <b val="1"/>
      <color rgb="00FFFFFF"/>
      <sz val="9"/>
    </font>
    <font>
      <name val="游ゴシック"/>
      <color rgb="001B3A6B"/>
      <sz val="10"/>
    </font>
    <font>
      <name val="游ゴシック"/>
      <color rgb="00444444"/>
      <sz val="9"/>
    </font>
    <font>
      <name val="游ゴシック"/>
      <b val="1"/>
      <color rgb="00003399"/>
      <sz val="10"/>
    </font>
    <font>
      <name val="游ゴシック"/>
      <b val="1"/>
      <color rgb="00CC0000"/>
      <sz val="10"/>
    </font>
    <font>
      <name val="游ゴシック"/>
      <b val="1"/>
      <color rgb="001B3A6B"/>
      <sz val="10"/>
    </font>
    <font>
      <name val="游ゴシック"/>
      <color rgb="001B3A6B"/>
      <sz val="7"/>
    </font>
    <font>
      <name val="游ゴシック"/>
      <color rgb="00FFFFFF"/>
      <sz val="8"/>
    </font>
    <font>
      <name val="游ゴシック"/>
      <b val="1"/>
      <color rgb="00FFFFFF"/>
      <sz val="10"/>
    </font>
    <font>
      <name val="游ゴシック"/>
      <b val="1"/>
      <color rgb="00FFFFFF"/>
      <sz val="24"/>
    </font>
    <font>
      <name val="游ゴシック"/>
      <b val="1"/>
      <color rgb="00FFFFFF"/>
      <sz val="11"/>
    </font>
    <font>
      <name val="游ゴシック"/>
      <b val="1"/>
      <color rgb="001B3A6B"/>
      <sz val="13"/>
    </font>
    <font>
      <name val="游ゴシック"/>
      <b val="1"/>
      <color rgb="00996515"/>
      <sz val="13"/>
    </font>
    <font>
      <name val="游ゴシック"/>
      <b val="1"/>
      <color rgb="001B3A6B"/>
      <sz val="14"/>
    </font>
    <font>
      <name val="游ゴシック"/>
      <b val="1"/>
      <color rgb="001B3A6B"/>
      <sz val="11"/>
    </font>
    <font>
      <name val="游ゴシック"/>
      <b val="1"/>
      <color rgb="001B3A6B"/>
      <sz val="12"/>
    </font>
    <font>
      <name val="游ゴシック"/>
      <b val="1"/>
      <color rgb="00155724"/>
      <sz val="12"/>
    </font>
    <font>
      <name val="游ゴシック"/>
      <b val="1"/>
      <color rgb="00721C24"/>
      <sz val="12"/>
    </font>
    <font>
      <name val="游ゴシック"/>
      <color rgb="001B3A6B"/>
      <sz val="11"/>
    </font>
    <font>
      <name val="游ゴシック"/>
      <b val="1"/>
      <color rgb="00B8860B"/>
      <sz val="15"/>
    </font>
    <font>
      <name val="游ゴシック"/>
      <b val="1"/>
      <color rgb="00996515"/>
      <sz val="12"/>
    </font>
    <font>
      <name val="游ゴシック"/>
      <b val="1"/>
      <color rgb="00996515"/>
      <sz val="15"/>
    </font>
    <font>
      <name val="游ゴシック"/>
      <b val="1"/>
      <color rgb="00996515"/>
      <sz val="9"/>
    </font>
    <font>
      <name val="游ゴシック"/>
      <color rgb="001B3A6B"/>
      <sz val="8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6E4FF"/>
      </patternFill>
    </fill>
    <fill>
      <patternFill patternType="solid">
        <fgColor rgb="00FFD6D6"/>
      </patternFill>
    </fill>
    <fill>
      <patternFill patternType="solid">
        <fgColor rgb="00F5F5F5"/>
      </patternFill>
    </fill>
    <fill>
      <patternFill patternType="solid">
        <fgColor rgb="00FFFACD"/>
      </patternFill>
    </fill>
    <fill>
      <patternFill patternType="lightTrellis">
        <fgColor rgb="00D97706"/>
        <bgColor rgb="00FEF3C7"/>
      </patternFill>
    </fill>
    <fill>
      <patternFill patternType="solid">
        <fgColor rgb="00E8F5E9"/>
      </patternFill>
    </fill>
    <fill>
      <patternFill patternType="solid">
        <fgColor rgb="00F5DEB3"/>
      </patternFill>
    </fill>
    <fill>
      <patternFill patternType="solid">
        <fgColor rgb="00B8860B"/>
      </patternFill>
    </fill>
    <fill>
      <patternFill patternType="solid">
        <fgColor rgb="00243F60"/>
      </patternFill>
    </fill>
    <fill>
      <patternFill patternType="solid">
        <fgColor rgb="00996515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3" pivotButton="0" quotePrefix="0" xfId="0"/>
    <xf numFmtId="0" fontId="11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0" fillId="12" borderId="2" pivotButton="0" quotePrefix="0" xfId="0"/>
    <xf numFmtId="0" fontId="0" fillId="12" borderId="0" pivotButton="0" quotePrefix="0" xfId="0"/>
    <xf numFmtId="0" fontId="13" fillId="3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14" fillId="11" borderId="4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left" vertical="center"/>
    </xf>
    <xf numFmtId="0" fontId="19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0" fontId="15" fillId="9" borderId="5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left" vertical="center"/>
    </xf>
    <xf numFmtId="0" fontId="19" fillId="9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20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21" fillId="9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14" fillId="7" borderId="5" applyAlignment="1" pivotButton="0" quotePrefix="0" xfId="0">
      <alignment horizontal="left" vertical="center"/>
    </xf>
    <xf numFmtId="0" fontId="18" fillId="7" borderId="2" applyAlignment="1" pivotButton="0" quotePrefix="0" xfId="0">
      <alignment horizontal="left" vertical="center"/>
    </xf>
    <xf numFmtId="0" fontId="19" fillId="7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25" fillId="9" borderId="2" applyAlignment="1" pivotButton="0" quotePrefix="0" xfId="0">
      <alignment horizontal="center" vertical="center"/>
    </xf>
    <xf numFmtId="0" fontId="26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20" customWidth="1" min="3" max="3"/>
    <col width="15" customWidth="1" min="4" max="4"/>
    <col width="1.2" customWidth="1" min="5" max="5"/>
    <col width="4.5" customWidth="1" min="6" max="6"/>
    <col width="4.5" customWidth="1" min="7" max="7"/>
    <col width="20" customWidth="1" min="8" max="8"/>
    <col width="15" customWidth="1" min="9" max="9"/>
    <col width="1.2" customWidth="1" min="10" max="10"/>
    <col width="4.5" customWidth="1" min="11" max="11"/>
    <col width="4.5" customWidth="1" min="12" max="12"/>
    <col width="20" customWidth="1" min="13" max="13"/>
    <col width="15" customWidth="1" min="14" max="14"/>
    <col width="1.5" customWidth="1" min="16" max="16"/>
    <col width="4.5" customWidth="1" min="17" max="17"/>
    <col width="13" customWidth="1" min="18" max="18"/>
  </cols>
  <sheetData>
    <row r="1" ht="40" customHeight="1">
      <c r="A1" s="1" t="inlineStr">
        <is>
          <t>令　和　８　年　　朝　野　球　日　程　表</t>
        </is>
      </c>
      <c r="E1" s="2" t="n"/>
      <c r="J1" s="2" t="n"/>
      <c r="Q1" s="3" t="inlineStr">
        <is>
          <t>チーム番号一覧</t>
        </is>
      </c>
    </row>
    <row r="2" ht="22" customHeight="1">
      <c r="A2" s="4" t="inlineStr">
        <is>
          <t>５　月</t>
        </is>
      </c>
      <c r="E2" s="2" t="n"/>
      <c r="F2" s="4" t="inlineStr">
        <is>
          <t>６　月</t>
        </is>
      </c>
      <c r="J2" s="2" t="n"/>
      <c r="K2" s="4" t="inlineStr">
        <is>
          <t>７　月</t>
        </is>
      </c>
      <c r="Q2" s="5" t="inlineStr">
        <is>
          <t>No.  チーム名</t>
        </is>
      </c>
    </row>
    <row r="3" ht="16" customHeight="1">
      <c r="A3" s="6" t="inlineStr">
        <is>
          <t>日</t>
        </is>
      </c>
      <c r="B3" s="6" t="inlineStr">
        <is>
          <t>曜</t>
        </is>
      </c>
      <c r="C3" s="6" t="inlineStr">
        <is>
          <t>対　戦　チ　ー　ム</t>
        </is>
      </c>
      <c r="D3" s="6" t="inlineStr">
        <is>
          <t>審　判</t>
        </is>
      </c>
      <c r="E3" s="2" t="n"/>
      <c r="F3" s="6" t="inlineStr">
        <is>
          <t>日</t>
        </is>
      </c>
      <c r="G3" s="6" t="inlineStr">
        <is>
          <t>曜</t>
        </is>
      </c>
      <c r="H3" s="6" t="inlineStr">
        <is>
          <t>対　戦　チ　ー　ム</t>
        </is>
      </c>
      <c r="I3" s="6" t="inlineStr">
        <is>
          <t>審　判</t>
        </is>
      </c>
      <c r="J3" s="2" t="n"/>
      <c r="K3" s="6" t="inlineStr">
        <is>
          <t>日</t>
        </is>
      </c>
      <c r="L3" s="6" t="inlineStr">
        <is>
          <t>曜</t>
        </is>
      </c>
      <c r="M3" s="6" t="inlineStr">
        <is>
          <t>対　戦　チ　ー　ム</t>
        </is>
      </c>
      <c r="N3" s="6" t="inlineStr">
        <is>
          <t>審　判</t>
        </is>
      </c>
      <c r="Q3" s="7" t="n">
        <v>1</v>
      </c>
      <c r="R3" s="8" t="inlineStr">
        <is>
          <t>野宮塗装</t>
        </is>
      </c>
    </row>
    <row r="4" ht="15" customHeight="1">
      <c r="A4" s="9" t="n">
        <v>1</v>
      </c>
      <c r="B4" s="9" t="inlineStr">
        <is>
          <t>金</t>
        </is>
      </c>
      <c r="C4" s="9" t="n"/>
      <c r="D4" s="10" t="n"/>
      <c r="E4" s="2" t="n"/>
      <c r="F4" s="9" t="n">
        <v>1</v>
      </c>
      <c r="G4" s="9" t="inlineStr">
        <is>
          <t>月</t>
        </is>
      </c>
      <c r="H4" s="9" t="n"/>
      <c r="I4" s="10" t="n"/>
      <c r="J4" s="2" t="n"/>
      <c r="K4" s="11" t="n">
        <v>1</v>
      </c>
      <c r="L4" s="11" t="inlineStr">
        <is>
          <t>水</t>
        </is>
      </c>
      <c r="M4" s="12" t="inlineStr">
        <is>
          <t>3 ー 4</t>
        </is>
      </c>
      <c r="N4" s="13" t="inlineStr">
        <is>
          <t>1・5</t>
        </is>
      </c>
      <c r="Q4" s="7" t="n">
        <v>2</v>
      </c>
      <c r="R4" s="14" t="inlineStr">
        <is>
          <t>★ 飯詰</t>
        </is>
      </c>
    </row>
    <row r="5" ht="15" customHeight="1">
      <c r="A5" s="15" t="n">
        <v>2</v>
      </c>
      <c r="B5" s="16" t="inlineStr">
        <is>
          <t>土</t>
        </is>
      </c>
      <c r="C5" s="15" t="n"/>
      <c r="D5" s="17" t="n"/>
      <c r="E5" s="2" t="n"/>
      <c r="F5" s="11" t="n">
        <v>2</v>
      </c>
      <c r="G5" s="11" t="inlineStr">
        <is>
          <t>火</t>
        </is>
      </c>
      <c r="H5" s="12" t="inlineStr">
        <is>
          <t>1 ー 6</t>
        </is>
      </c>
      <c r="I5" s="13" t="inlineStr">
        <is>
          <t>2・4</t>
        </is>
      </c>
      <c r="J5" s="2" t="n"/>
      <c r="K5" s="18" t="n">
        <v>2</v>
      </c>
      <c r="L5" s="18" t="inlineStr">
        <is>
          <t>木</t>
        </is>
      </c>
      <c r="M5" s="19" t="inlineStr">
        <is>
          <t>2 ー 6</t>
        </is>
      </c>
      <c r="N5" s="20" t="inlineStr">
        <is>
          <t>3・4</t>
        </is>
      </c>
      <c r="Q5" s="7" t="n">
        <v>3</v>
      </c>
      <c r="R5" s="8" t="inlineStr">
        <is>
          <t>バッカス</t>
        </is>
      </c>
    </row>
    <row r="6" ht="15" customHeight="1">
      <c r="A6" s="21" t="n">
        <v>3</v>
      </c>
      <c r="B6" s="22" t="inlineStr">
        <is>
          <t>日</t>
        </is>
      </c>
      <c r="C6" s="21" t="n"/>
      <c r="D6" s="23" t="n"/>
      <c r="E6" s="2" t="n"/>
      <c r="F6" s="18" t="n">
        <v>3</v>
      </c>
      <c r="G6" s="18" t="inlineStr">
        <is>
          <t>水</t>
        </is>
      </c>
      <c r="H6" s="19" t="inlineStr">
        <is>
          <t>2 ー 3</t>
        </is>
      </c>
      <c r="I6" s="20" t="inlineStr">
        <is>
          <t>1・6</t>
        </is>
      </c>
      <c r="J6" s="2" t="n"/>
      <c r="K6" s="9" t="n">
        <v>3</v>
      </c>
      <c r="L6" s="9" t="inlineStr">
        <is>
          <t>金</t>
        </is>
      </c>
      <c r="M6" s="9" t="n"/>
      <c r="N6" s="10" t="n"/>
      <c r="Q6" s="7" t="n">
        <v>4</v>
      </c>
      <c r="R6" s="24" t="inlineStr">
        <is>
          <t>ウエスタン</t>
        </is>
      </c>
    </row>
    <row r="7" ht="15" customHeight="1">
      <c r="A7" s="25" t="n">
        <v>4</v>
      </c>
      <c r="B7" s="25" t="inlineStr">
        <is>
          <t>月</t>
        </is>
      </c>
      <c r="C7" s="25" t="n"/>
      <c r="D7" s="26" t="n"/>
      <c r="E7" s="2" t="n"/>
      <c r="F7" s="11" t="n">
        <v>4</v>
      </c>
      <c r="G7" s="11" t="inlineStr">
        <is>
          <t>木</t>
        </is>
      </c>
      <c r="H7" s="12" t="inlineStr">
        <is>
          <t>4 ー 5</t>
        </is>
      </c>
      <c r="I7" s="13" t="inlineStr">
        <is>
          <t>2・3</t>
        </is>
      </c>
      <c r="J7" s="2" t="n"/>
      <c r="K7" s="15" t="n">
        <v>4</v>
      </c>
      <c r="L7" s="16" t="inlineStr">
        <is>
          <t>土</t>
        </is>
      </c>
      <c r="M7" s="15" t="n"/>
      <c r="N7" s="17" t="n"/>
      <c r="Q7" s="7" t="n">
        <v>5</v>
      </c>
      <c r="R7" s="8" t="inlineStr">
        <is>
          <t>富士電機</t>
        </is>
      </c>
    </row>
    <row r="8" ht="15" customHeight="1">
      <c r="A8" s="9" t="n">
        <v>5</v>
      </c>
      <c r="B8" s="9" t="inlineStr">
        <is>
          <t>火</t>
        </is>
      </c>
      <c r="C8" s="9" t="n"/>
      <c r="D8" s="10" t="n"/>
      <c r="E8" s="2" t="n"/>
      <c r="F8" s="9" t="n">
        <v>5</v>
      </c>
      <c r="G8" s="9" t="inlineStr">
        <is>
          <t>金</t>
        </is>
      </c>
      <c r="H8" s="9" t="n"/>
      <c r="I8" s="10" t="n"/>
      <c r="J8" s="2" t="n"/>
      <c r="K8" s="21" t="n">
        <v>5</v>
      </c>
      <c r="L8" s="22" t="inlineStr">
        <is>
          <t>日</t>
        </is>
      </c>
      <c r="M8" s="21" t="n"/>
      <c r="N8" s="23" t="n"/>
      <c r="Q8" s="7" t="n">
        <v>6</v>
      </c>
      <c r="R8" s="24" t="inlineStr">
        <is>
          <t>日産</t>
        </is>
      </c>
    </row>
    <row r="9" ht="15" customHeight="1">
      <c r="A9" s="25" t="n">
        <v>6</v>
      </c>
      <c r="B9" s="25" t="inlineStr">
        <is>
          <t>水</t>
        </is>
      </c>
      <c r="C9" s="25" t="n"/>
      <c r="D9" s="26" t="n"/>
      <c r="E9" s="2" t="n"/>
      <c r="F9" s="15" t="n">
        <v>6</v>
      </c>
      <c r="G9" s="16" t="inlineStr">
        <is>
          <t>土</t>
        </is>
      </c>
      <c r="H9" s="15" t="n"/>
      <c r="I9" s="17" t="n"/>
      <c r="J9" s="2" t="n"/>
      <c r="K9" s="25" t="n">
        <v>6</v>
      </c>
      <c r="L9" s="25" t="inlineStr">
        <is>
          <t>月</t>
        </is>
      </c>
      <c r="M9" s="25" t="n"/>
      <c r="N9" s="26" t="n"/>
    </row>
    <row r="10" ht="15" customHeight="1">
      <c r="A10" s="9" t="n">
        <v>7</v>
      </c>
      <c r="B10" s="9" t="inlineStr">
        <is>
          <t>木</t>
        </is>
      </c>
      <c r="C10" s="9" t="n"/>
      <c r="D10" s="10" t="n"/>
      <c r="E10" s="2" t="n"/>
      <c r="F10" s="21" t="n">
        <v>7</v>
      </c>
      <c r="G10" s="22" t="inlineStr">
        <is>
          <t>日</t>
        </is>
      </c>
      <c r="H10" s="21" t="n"/>
      <c r="I10" s="23" t="n"/>
      <c r="J10" s="2" t="n"/>
      <c r="K10" s="9" t="n">
        <v>7</v>
      </c>
      <c r="L10" s="9" t="inlineStr">
        <is>
          <t>火</t>
        </is>
      </c>
      <c r="M10" s="9" t="n"/>
      <c r="N10" s="10" t="n"/>
    </row>
    <row r="11" ht="15" customHeight="1">
      <c r="A11" s="25" t="n">
        <v>8</v>
      </c>
      <c r="B11" s="25" t="inlineStr">
        <is>
          <t>金</t>
        </is>
      </c>
      <c r="C11" s="25" t="n"/>
      <c r="D11" s="26" t="n"/>
      <c r="E11" s="2" t="n"/>
      <c r="F11" s="25" t="n">
        <v>8</v>
      </c>
      <c r="G11" s="25" t="inlineStr">
        <is>
          <t>月</t>
        </is>
      </c>
      <c r="H11" s="25" t="n"/>
      <c r="I11" s="26" t="n"/>
      <c r="J11" s="2" t="n"/>
      <c r="K11" s="25" t="n">
        <v>8</v>
      </c>
      <c r="L11" s="25" t="inlineStr">
        <is>
          <t>水</t>
        </is>
      </c>
      <c r="M11" s="25" t="n"/>
      <c r="N11" s="26" t="n"/>
    </row>
    <row r="12" ht="15" customHeight="1">
      <c r="A12" s="15" t="n">
        <v>9</v>
      </c>
      <c r="B12" s="16" t="inlineStr">
        <is>
          <t>土</t>
        </is>
      </c>
      <c r="C12" s="15" t="n"/>
      <c r="D12" s="17" t="n"/>
      <c r="E12" s="2" t="n"/>
      <c r="F12" s="18" t="n">
        <v>9</v>
      </c>
      <c r="G12" s="18" t="inlineStr">
        <is>
          <t>火</t>
        </is>
      </c>
      <c r="H12" s="19" t="inlineStr">
        <is>
          <t>1 ー 2</t>
        </is>
      </c>
      <c r="I12" s="20" t="inlineStr">
        <is>
          <t>4・5</t>
        </is>
      </c>
      <c r="J12" s="2" t="n"/>
      <c r="K12" s="9" t="n">
        <v>9</v>
      </c>
      <c r="L12" s="9" t="inlineStr">
        <is>
          <t>木</t>
        </is>
      </c>
      <c r="M12" s="9" t="n"/>
      <c r="N12" s="10" t="n"/>
    </row>
    <row r="13" ht="15" customHeight="1">
      <c r="A13" s="21" t="n">
        <v>10</v>
      </c>
      <c r="B13" s="22" t="inlineStr">
        <is>
          <t>日</t>
        </is>
      </c>
      <c r="C13" s="21" t="n"/>
      <c r="D13" s="23" t="n"/>
      <c r="E13" s="2" t="n"/>
      <c r="F13" s="11" t="n">
        <v>10</v>
      </c>
      <c r="G13" s="11" t="inlineStr">
        <is>
          <t>水</t>
        </is>
      </c>
      <c r="H13" s="12" t="inlineStr">
        <is>
          <t>3 ー 5</t>
        </is>
      </c>
      <c r="I13" s="13" t="inlineStr">
        <is>
          <t>1・2</t>
        </is>
      </c>
      <c r="J13" s="2" t="n"/>
      <c r="K13" s="25" t="n">
        <v>10</v>
      </c>
      <c r="L13" s="25" t="inlineStr">
        <is>
          <t>金</t>
        </is>
      </c>
      <c r="M13" s="25" t="n"/>
      <c r="N13" s="26" t="n"/>
    </row>
    <row r="14" ht="15" customHeight="1">
      <c r="A14" s="9" t="n">
        <v>11</v>
      </c>
      <c r="B14" s="9" t="inlineStr">
        <is>
          <t>月</t>
        </is>
      </c>
      <c r="C14" s="9" t="n"/>
      <c r="D14" s="10" t="n"/>
      <c r="E14" s="2" t="n"/>
      <c r="F14" s="11" t="n">
        <v>11</v>
      </c>
      <c r="G14" s="11" t="inlineStr">
        <is>
          <t>木</t>
        </is>
      </c>
      <c r="H14" s="12" t="inlineStr">
        <is>
          <t>4 ー 6</t>
        </is>
      </c>
      <c r="I14" s="13" t="inlineStr">
        <is>
          <t>3・5</t>
        </is>
      </c>
      <c r="J14" s="2" t="n"/>
      <c r="K14" s="15" t="n">
        <v>11</v>
      </c>
      <c r="L14" s="16" t="inlineStr">
        <is>
          <t>土</t>
        </is>
      </c>
      <c r="M14" s="15" t="n"/>
      <c r="N14" s="17" t="n"/>
    </row>
    <row r="15" ht="15" customHeight="1">
      <c r="A15" s="25" t="n">
        <v>12</v>
      </c>
      <c r="B15" s="25" t="inlineStr">
        <is>
          <t>火</t>
        </is>
      </c>
      <c r="C15" s="25" t="n"/>
      <c r="D15" s="26" t="n"/>
      <c r="E15" s="2" t="n"/>
      <c r="F15" s="25" t="n">
        <v>12</v>
      </c>
      <c r="G15" s="25" t="inlineStr">
        <is>
          <t>金</t>
        </is>
      </c>
      <c r="H15" s="25" t="n"/>
      <c r="I15" s="26" t="n"/>
      <c r="J15" s="2" t="n"/>
      <c r="K15" s="21" t="n">
        <v>12</v>
      </c>
      <c r="L15" s="22" t="inlineStr">
        <is>
          <t>日</t>
        </is>
      </c>
      <c r="M15" s="21" t="n"/>
      <c r="N15" s="23" t="n"/>
    </row>
    <row r="16" ht="15" customHeight="1">
      <c r="A16" s="9" t="n">
        <v>13</v>
      </c>
      <c r="B16" s="9" t="inlineStr">
        <is>
          <t>水</t>
        </is>
      </c>
      <c r="C16" s="9" t="n"/>
      <c r="D16" s="10" t="n"/>
      <c r="E16" s="2" t="n"/>
      <c r="F16" s="15" t="n">
        <v>13</v>
      </c>
      <c r="G16" s="16" t="inlineStr">
        <is>
          <t>土</t>
        </is>
      </c>
      <c r="H16" s="15" t="n"/>
      <c r="I16" s="17" t="n"/>
      <c r="J16" s="2" t="n"/>
      <c r="K16" s="9" t="n">
        <v>13</v>
      </c>
      <c r="L16" s="9" t="inlineStr">
        <is>
          <t>月</t>
        </is>
      </c>
      <c r="M16" s="9" t="n"/>
      <c r="N16" s="10" t="n"/>
    </row>
    <row r="17" ht="15" customHeight="1">
      <c r="A17" s="25" t="n">
        <v>14</v>
      </c>
      <c r="B17" s="25" t="inlineStr">
        <is>
          <t>木</t>
        </is>
      </c>
      <c r="C17" s="25" t="n"/>
      <c r="D17" s="26" t="n"/>
      <c r="E17" s="2" t="n"/>
      <c r="F17" s="21" t="n">
        <v>14</v>
      </c>
      <c r="G17" s="22" t="inlineStr">
        <is>
          <t>日</t>
        </is>
      </c>
      <c r="H17" s="21" t="n"/>
      <c r="I17" s="23" t="n"/>
      <c r="J17" s="2" t="n"/>
      <c r="K17" s="25" t="n">
        <v>14</v>
      </c>
      <c r="L17" s="25" t="inlineStr">
        <is>
          <t>火</t>
        </is>
      </c>
      <c r="M17" s="25" t="n"/>
      <c r="N17" s="26" t="n"/>
    </row>
    <row r="18" ht="15" customHeight="1">
      <c r="A18" s="9" t="n">
        <v>15</v>
      </c>
      <c r="B18" s="9" t="inlineStr">
        <is>
          <t>金</t>
        </is>
      </c>
      <c r="C18" s="9" t="n"/>
      <c r="D18" s="10" t="n"/>
      <c r="E18" s="2" t="n"/>
      <c r="F18" s="9" t="n">
        <v>15</v>
      </c>
      <c r="G18" s="9" t="inlineStr">
        <is>
          <t>月</t>
        </is>
      </c>
      <c r="H18" s="9" t="n"/>
      <c r="I18" s="10" t="n"/>
      <c r="J18" s="2" t="n"/>
      <c r="K18" s="9" t="n">
        <v>15</v>
      </c>
      <c r="L18" s="9" t="inlineStr">
        <is>
          <t>水</t>
        </is>
      </c>
      <c r="M18" s="9" t="n"/>
      <c r="N18" s="10" t="n"/>
    </row>
    <row r="19" ht="15" customHeight="1">
      <c r="A19" s="15" t="n">
        <v>16</v>
      </c>
      <c r="B19" s="16" t="inlineStr">
        <is>
          <t>土</t>
        </is>
      </c>
      <c r="C19" s="15" t="n"/>
      <c r="D19" s="17" t="n"/>
      <c r="E19" s="2" t="n"/>
      <c r="F19" s="27" t="n">
        <v>16</v>
      </c>
      <c r="G19" s="27" t="inlineStr">
        <is>
          <t>火</t>
        </is>
      </c>
      <c r="H19" s="27" t="inlineStr">
        <is>
          <t>予　備　日</t>
        </is>
      </c>
      <c r="I19" s="28" t="n"/>
      <c r="J19" s="2" t="n"/>
      <c r="K19" s="25" t="n">
        <v>16</v>
      </c>
      <c r="L19" s="25" t="inlineStr">
        <is>
          <t>木</t>
        </is>
      </c>
      <c r="M19" s="25" t="n"/>
      <c r="N19" s="26" t="n"/>
    </row>
    <row r="20" ht="15" customHeight="1">
      <c r="A20" s="21" t="n">
        <v>17</v>
      </c>
      <c r="B20" s="22" t="inlineStr">
        <is>
          <t>日</t>
        </is>
      </c>
      <c r="C20" s="21" t="n"/>
      <c r="D20" s="23" t="n"/>
      <c r="E20" s="2" t="n"/>
      <c r="F20" s="27" t="n">
        <v>17</v>
      </c>
      <c r="G20" s="27" t="inlineStr">
        <is>
          <t>水</t>
        </is>
      </c>
      <c r="H20" s="27" t="inlineStr">
        <is>
          <t>予　備　日</t>
        </is>
      </c>
      <c r="I20" s="28" t="n"/>
      <c r="J20" s="2" t="n"/>
      <c r="K20" s="9" t="n">
        <v>17</v>
      </c>
      <c r="L20" s="9" t="inlineStr">
        <is>
          <t>金</t>
        </is>
      </c>
      <c r="M20" s="9" t="n"/>
      <c r="N20" s="10" t="n"/>
    </row>
    <row r="21" ht="15" customHeight="1">
      <c r="A21" s="25" t="n">
        <v>18</v>
      </c>
      <c r="B21" s="25" t="inlineStr">
        <is>
          <t>月</t>
        </is>
      </c>
      <c r="C21" s="25" t="n"/>
      <c r="D21" s="26" t="n"/>
      <c r="E21" s="2" t="n"/>
      <c r="F21" s="27" t="n">
        <v>18</v>
      </c>
      <c r="G21" s="27" t="inlineStr">
        <is>
          <t>木</t>
        </is>
      </c>
      <c r="H21" s="27" t="inlineStr">
        <is>
          <t>予　備　日</t>
        </is>
      </c>
      <c r="I21" s="28" t="n"/>
      <c r="J21" s="2" t="n"/>
      <c r="K21" s="15" t="n">
        <v>18</v>
      </c>
      <c r="L21" s="16" t="inlineStr">
        <is>
          <t>土</t>
        </is>
      </c>
      <c r="M21" s="15" t="n"/>
      <c r="N21" s="17" t="n"/>
    </row>
    <row r="22" ht="15" customHeight="1">
      <c r="A22" s="9" t="n">
        <v>19</v>
      </c>
      <c r="B22" s="9" t="inlineStr">
        <is>
          <t>火</t>
        </is>
      </c>
      <c r="C22" s="9" t="n"/>
      <c r="D22" s="10" t="n"/>
      <c r="E22" s="2" t="n"/>
      <c r="F22" s="9" t="n">
        <v>19</v>
      </c>
      <c r="G22" s="9" t="inlineStr">
        <is>
          <t>金</t>
        </is>
      </c>
      <c r="H22" s="9" t="n"/>
      <c r="I22" s="10" t="n"/>
      <c r="J22" s="2" t="n"/>
      <c r="K22" s="21" t="n">
        <v>19</v>
      </c>
      <c r="L22" s="22" t="inlineStr">
        <is>
          <t>日</t>
        </is>
      </c>
      <c r="M22" s="21" t="n"/>
      <c r="N22" s="23" t="n"/>
    </row>
    <row r="23" ht="15" customHeight="1">
      <c r="A23" s="25" t="n">
        <v>20</v>
      </c>
      <c r="B23" s="25" t="inlineStr">
        <is>
          <t>水</t>
        </is>
      </c>
      <c r="C23" s="25" t="n"/>
      <c r="D23" s="26" t="n"/>
      <c r="E23" s="2" t="n"/>
      <c r="F23" s="15" t="n">
        <v>20</v>
      </c>
      <c r="G23" s="16" t="inlineStr">
        <is>
          <t>土</t>
        </is>
      </c>
      <c r="H23" s="15" t="n"/>
      <c r="I23" s="17" t="n"/>
      <c r="J23" s="2" t="n"/>
      <c r="K23" s="25" t="n">
        <v>20</v>
      </c>
      <c r="L23" s="25" t="inlineStr">
        <is>
          <t>月</t>
        </is>
      </c>
      <c r="M23" s="25" t="n"/>
      <c r="N23" s="26" t="n"/>
    </row>
    <row r="24" ht="15" customHeight="1">
      <c r="A24" s="9" t="n">
        <v>21</v>
      </c>
      <c r="B24" s="9" t="inlineStr">
        <is>
          <t>木</t>
        </is>
      </c>
      <c r="C24" s="9" t="n"/>
      <c r="D24" s="10" t="n"/>
      <c r="E24" s="2" t="n"/>
      <c r="F24" s="21" t="n">
        <v>21</v>
      </c>
      <c r="G24" s="22" t="inlineStr">
        <is>
          <t>日</t>
        </is>
      </c>
      <c r="H24" s="21" t="n"/>
      <c r="I24" s="23" t="n"/>
      <c r="J24" s="2" t="n"/>
      <c r="K24" s="9" t="n">
        <v>21</v>
      </c>
      <c r="L24" s="9" t="inlineStr">
        <is>
          <t>火</t>
        </is>
      </c>
      <c r="M24" s="9" t="n"/>
      <c r="N24" s="10" t="n"/>
    </row>
    <row r="25" ht="15" customHeight="1">
      <c r="A25" s="25" t="n">
        <v>22</v>
      </c>
      <c r="B25" s="25" t="inlineStr">
        <is>
          <t>金</t>
        </is>
      </c>
      <c r="C25" s="25" t="n"/>
      <c r="D25" s="26" t="n"/>
      <c r="E25" s="2" t="n"/>
      <c r="F25" s="25" t="n">
        <v>22</v>
      </c>
      <c r="G25" s="25" t="inlineStr">
        <is>
          <t>月</t>
        </is>
      </c>
      <c r="H25" s="25" t="n"/>
      <c r="I25" s="26" t="n"/>
      <c r="J25" s="2" t="n"/>
      <c r="K25" s="25" t="n">
        <v>22</v>
      </c>
      <c r="L25" s="25" t="inlineStr">
        <is>
          <t>水</t>
        </is>
      </c>
      <c r="M25" s="25" t="n"/>
      <c r="N25" s="26" t="n"/>
    </row>
    <row r="26" ht="15" customHeight="1">
      <c r="A26" s="15" t="n">
        <v>23</v>
      </c>
      <c r="B26" s="16" t="inlineStr">
        <is>
          <t>土</t>
        </is>
      </c>
      <c r="C26" s="15" t="n"/>
      <c r="D26" s="17" t="n"/>
      <c r="E26" s="2" t="n"/>
      <c r="F26" s="18" t="n">
        <v>23</v>
      </c>
      <c r="G26" s="18" t="inlineStr">
        <is>
          <t>火</t>
        </is>
      </c>
      <c r="H26" s="19" t="inlineStr">
        <is>
          <t>2 ー 5</t>
        </is>
      </c>
      <c r="I26" s="20" t="inlineStr">
        <is>
          <t>4・6</t>
        </is>
      </c>
      <c r="J26" s="2" t="n"/>
      <c r="K26" s="9" t="n">
        <v>23</v>
      </c>
      <c r="L26" s="9" t="inlineStr">
        <is>
          <t>木</t>
        </is>
      </c>
      <c r="M26" s="9" t="n"/>
      <c r="N26" s="10" t="n"/>
    </row>
    <row r="27" ht="15" customHeight="1">
      <c r="A27" s="21" t="n">
        <v>24</v>
      </c>
      <c r="B27" s="22" t="inlineStr">
        <is>
          <t>日</t>
        </is>
      </c>
      <c r="C27" s="21" t="n"/>
      <c r="D27" s="23" t="n"/>
      <c r="E27" s="2" t="n"/>
      <c r="F27" s="11" t="n">
        <v>24</v>
      </c>
      <c r="G27" s="11" t="inlineStr">
        <is>
          <t>水</t>
        </is>
      </c>
      <c r="H27" s="12" t="inlineStr">
        <is>
          <t>1 ー 4</t>
        </is>
      </c>
      <c r="I27" s="13" t="inlineStr">
        <is>
          <t>2・5</t>
        </is>
      </c>
      <c r="J27" s="2" t="n"/>
      <c r="K27" s="25" t="n">
        <v>24</v>
      </c>
      <c r="L27" s="25" t="inlineStr">
        <is>
          <t>金</t>
        </is>
      </c>
      <c r="M27" s="25" t="n"/>
      <c r="N27" s="26" t="n"/>
    </row>
    <row r="28" ht="15" customHeight="1">
      <c r="A28" s="9" t="n">
        <v>25</v>
      </c>
      <c r="B28" s="9" t="inlineStr">
        <is>
          <t>月</t>
        </is>
      </c>
      <c r="C28" s="9" t="n"/>
      <c r="D28" s="10" t="n"/>
      <c r="E28" s="2" t="n"/>
      <c r="F28" s="11" t="n">
        <v>25</v>
      </c>
      <c r="G28" s="11" t="inlineStr">
        <is>
          <t>木</t>
        </is>
      </c>
      <c r="H28" s="12" t="inlineStr">
        <is>
          <t>3 ー 6</t>
        </is>
      </c>
      <c r="I28" s="13" t="inlineStr">
        <is>
          <t>1・4</t>
        </is>
      </c>
      <c r="J28" s="2" t="n"/>
      <c r="K28" s="15" t="n">
        <v>25</v>
      </c>
      <c r="L28" s="16" t="inlineStr">
        <is>
          <t>土</t>
        </is>
      </c>
      <c r="M28" s="15" t="n"/>
      <c r="N28" s="17" t="n"/>
    </row>
    <row r="29" ht="15" customHeight="1">
      <c r="A29" s="11" t="n">
        <v>26</v>
      </c>
      <c r="B29" s="11" t="inlineStr">
        <is>
          <t>火</t>
        </is>
      </c>
      <c r="C29" s="12" t="inlineStr">
        <is>
          <t>1 ー 3</t>
        </is>
      </c>
      <c r="D29" s="13" t="inlineStr">
        <is>
          <t>2・6</t>
        </is>
      </c>
      <c r="E29" s="2" t="n"/>
      <c r="F29" s="25" t="n">
        <v>26</v>
      </c>
      <c r="G29" s="25" t="inlineStr">
        <is>
          <t>金</t>
        </is>
      </c>
      <c r="H29" s="25" t="n"/>
      <c r="I29" s="26" t="n"/>
      <c r="J29" s="2" t="n"/>
      <c r="K29" s="21" t="n">
        <v>26</v>
      </c>
      <c r="L29" s="22" t="inlineStr">
        <is>
          <t>日</t>
        </is>
      </c>
      <c r="M29" s="21" t="n"/>
      <c r="N29" s="23" t="n"/>
    </row>
    <row r="30" ht="15" customHeight="1">
      <c r="A30" s="11" t="n">
        <v>27</v>
      </c>
      <c r="B30" s="11" t="inlineStr">
        <is>
          <t>水</t>
        </is>
      </c>
      <c r="C30" s="12" t="inlineStr">
        <is>
          <t>5 ー 6</t>
        </is>
      </c>
      <c r="D30" s="13" t="inlineStr">
        <is>
          <t>1・3</t>
        </is>
      </c>
      <c r="E30" s="2" t="n"/>
      <c r="F30" s="15" t="n">
        <v>27</v>
      </c>
      <c r="G30" s="16" t="inlineStr">
        <is>
          <t>土</t>
        </is>
      </c>
      <c r="H30" s="15" t="n"/>
      <c r="I30" s="17" t="n"/>
      <c r="J30" s="2" t="n"/>
      <c r="K30" s="9" t="n">
        <v>27</v>
      </c>
      <c r="L30" s="9" t="inlineStr">
        <is>
          <t>月</t>
        </is>
      </c>
      <c r="M30" s="9" t="n"/>
      <c r="N30" s="10" t="n"/>
    </row>
    <row r="31" ht="15" customHeight="1">
      <c r="A31" s="18" t="n">
        <v>28</v>
      </c>
      <c r="B31" s="18" t="inlineStr">
        <is>
          <t>木</t>
        </is>
      </c>
      <c r="C31" s="19" t="inlineStr">
        <is>
          <t>2 ー 4</t>
        </is>
      </c>
      <c r="D31" s="20" t="inlineStr">
        <is>
          <t>5・6</t>
        </is>
      </c>
      <c r="E31" s="2" t="n"/>
      <c r="F31" s="21" t="n">
        <v>28</v>
      </c>
      <c r="G31" s="22" t="inlineStr">
        <is>
          <t>日</t>
        </is>
      </c>
      <c r="H31" s="21" t="n"/>
      <c r="I31" s="23" t="n"/>
      <c r="J31" s="2" t="n"/>
      <c r="K31" s="25" t="n">
        <v>28</v>
      </c>
      <c r="L31" s="25" t="inlineStr">
        <is>
          <t>火</t>
        </is>
      </c>
      <c r="M31" s="25" t="n"/>
      <c r="N31" s="26" t="n"/>
    </row>
    <row r="32" ht="15" customHeight="1">
      <c r="A32" s="9" t="n">
        <v>29</v>
      </c>
      <c r="B32" s="9" t="inlineStr">
        <is>
          <t>金</t>
        </is>
      </c>
      <c r="C32" s="9" t="n"/>
      <c r="D32" s="10" t="n"/>
      <c r="E32" s="2" t="n"/>
      <c r="F32" s="9" t="n">
        <v>29</v>
      </c>
      <c r="G32" s="9" t="inlineStr">
        <is>
          <t>月</t>
        </is>
      </c>
      <c r="H32" s="9" t="n"/>
      <c r="I32" s="10" t="n"/>
      <c r="J32" s="2" t="n"/>
      <c r="K32" s="9" t="n">
        <v>29</v>
      </c>
      <c r="L32" s="9" t="inlineStr">
        <is>
          <t>水</t>
        </is>
      </c>
      <c r="M32" s="9" t="n"/>
      <c r="N32" s="10" t="n"/>
    </row>
    <row r="33" ht="15" customHeight="1">
      <c r="A33" s="15" t="n">
        <v>30</v>
      </c>
      <c r="B33" s="16" t="inlineStr">
        <is>
          <t>土</t>
        </is>
      </c>
      <c r="C33" s="15" t="n"/>
      <c r="D33" s="17" t="n"/>
      <c r="E33" s="2" t="n"/>
      <c r="F33" s="11" t="n">
        <v>30</v>
      </c>
      <c r="G33" s="11" t="inlineStr">
        <is>
          <t>火</t>
        </is>
      </c>
      <c r="H33" s="12" t="inlineStr">
        <is>
          <t>1 ー 5</t>
        </is>
      </c>
      <c r="I33" s="13" t="inlineStr">
        <is>
          <t>3・6</t>
        </is>
      </c>
      <c r="J33" s="2" t="n"/>
      <c r="K33" s="25" t="n">
        <v>30</v>
      </c>
      <c r="L33" s="25" t="inlineStr">
        <is>
          <t>木</t>
        </is>
      </c>
      <c r="M33" s="25" t="n"/>
      <c r="N33" s="26" t="n"/>
    </row>
    <row r="34" ht="15" customHeight="1">
      <c r="A34" s="21" t="n">
        <v>31</v>
      </c>
      <c r="B34" s="22" t="inlineStr">
        <is>
          <t>日</t>
        </is>
      </c>
      <c r="C34" s="21" t="n"/>
      <c r="D34" s="23" t="n"/>
      <c r="E34" s="2" t="n"/>
      <c r="J34" s="2" t="n"/>
      <c r="K34" s="9" t="n">
        <v>31</v>
      </c>
      <c r="L34" s="9" t="inlineStr">
        <is>
          <t>金</t>
        </is>
      </c>
      <c r="M34" s="9" t="n"/>
      <c r="N34" s="10" t="n"/>
    </row>
    <row r="35" ht="15" customHeight="1">
      <c r="E35" s="2" t="n"/>
      <c r="J35" s="2" t="n"/>
    </row>
    <row r="36" ht="13" customHeight="1">
      <c r="A36" s="29" t="inlineStr">
        <is>
          <t>■ 飯詰出場</t>
        </is>
      </c>
      <c r="C36" s="30" t="inlineStr">
        <is>
          <t>■ 試合</t>
        </is>
      </c>
      <c r="E36" s="2" t="n"/>
      <c r="F36" s="31" t="inlineStr">
        <is>
          <t>■ 予備日</t>
        </is>
      </c>
      <c r="H36" s="32" t="inlineStr">
        <is>
          <t>■ 土曜</t>
        </is>
      </c>
      <c r="J36" s="2" t="n"/>
      <c r="K36" s="33" t="inlineStr">
        <is>
          <t>■ 日曜</t>
        </is>
      </c>
    </row>
    <row r="37" ht="14" customHeight="1">
      <c r="A37" s="34" t="inlineStr">
        <is>
          <t>◆ メンバー表交換 5:10　◆ 試合時間 5:15～6:45　◆ 6:40を超えて新しいイニングには入らない　◆ 捕手は防具着用で整列</t>
        </is>
      </c>
    </row>
    <row r="38" ht="15" customHeight="1">
      <c r="E38" s="2" t="n"/>
      <c r="J38" s="2" t="n"/>
    </row>
  </sheetData>
  <mergeCells count="18">
    <mergeCell ref="R5"/>
    <mergeCell ref="R4"/>
    <mergeCell ref="Q2:R2"/>
    <mergeCell ref="Q1:R1"/>
    <mergeCell ref="A37:N37"/>
    <mergeCell ref="F2:I2"/>
    <mergeCell ref="R7"/>
    <mergeCell ref="R8"/>
    <mergeCell ref="C36:D36"/>
    <mergeCell ref="A36:B36"/>
    <mergeCell ref="F36:G36"/>
    <mergeCell ref="R6"/>
    <mergeCell ref="K2:N2"/>
    <mergeCell ref="A2:D2"/>
    <mergeCell ref="H36:I36"/>
    <mergeCell ref="K36:L36"/>
    <mergeCell ref="R3"/>
    <mergeCell ref="A1:N1"/>
  </mergeCells>
  <pageMargins left="0.4" right="0.4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.5" customWidth="1" min="3" max="3"/>
    <col width="9" customWidth="1" min="4" max="4"/>
    <col width="14" customWidth="1" min="5" max="5"/>
    <col width="5.5" customWidth="1" min="6" max="6"/>
    <col width="5.5" customWidth="1" min="7" max="7"/>
    <col width="14" customWidth="1" min="8" max="8"/>
    <col width="5.5" customWidth="1" min="9" max="9"/>
    <col width="5.5" customWidth="1" min="10" max="10"/>
    <col width="1.5" customWidth="1" min="11" max="11"/>
    <col width="4" customWidth="1" min="12" max="12"/>
    <col width="16" customWidth="1" min="13" max="13"/>
    <col width="5" customWidth="1" min="14" max="14"/>
    <col width="5" customWidth="1" min="15" max="15"/>
    <col width="5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 ht="44" customHeight="1">
      <c r="A1" s="35" t="inlineStr">
        <is>
          <t>令　和　８　年　　朝　野　球　リ ー グ　勝　敗　表</t>
        </is>
      </c>
      <c r="C1" s="36" t="n"/>
      <c r="K1" s="36" t="n"/>
    </row>
    <row r="2" ht="8" customHeight="1">
      <c r="A2" s="37" t="n"/>
      <c r="C2" s="36" t="n"/>
      <c r="K2" s="36" t="n"/>
    </row>
    <row r="3" ht="22" customHeight="1">
      <c r="A3" s="38" t="inlineStr">
        <is>
          <t>▶  チーム登録</t>
        </is>
      </c>
      <c r="C3" s="36" t="n"/>
      <c r="D3" s="38" t="inlineStr">
        <is>
          <t>▶  試合結果入力（黄色セルに得点を入力）</t>
        </is>
      </c>
      <c r="K3" s="36" t="n"/>
      <c r="L3" s="39" t="inlineStr">
        <is>
          <t>▶  成　績　表　（自動集計）</t>
        </is>
      </c>
    </row>
    <row r="4" ht="16" customHeight="1">
      <c r="A4" s="40" t="inlineStr">
        <is>
          <t>No.</t>
        </is>
      </c>
      <c r="B4" s="40" t="inlineStr">
        <is>
          <t>チーム名</t>
        </is>
      </c>
      <c r="C4" s="36" t="n"/>
      <c r="D4" s="40" t="inlineStr">
        <is>
          <t>日付</t>
        </is>
      </c>
      <c r="E4" s="40" t="inlineStr">
        <is>
          <t>チームA</t>
        </is>
      </c>
      <c r="F4" s="41" t="inlineStr">
        <is>
          <t>得点A</t>
        </is>
      </c>
      <c r="G4" s="41" t="inlineStr">
        <is>
          <t>得点B</t>
        </is>
      </c>
      <c r="H4" s="40" t="inlineStr">
        <is>
          <t>チームB</t>
        </is>
      </c>
      <c r="I4" s="40" t="inlineStr">
        <is>
          <t>結果A</t>
        </is>
      </c>
      <c r="J4" s="40" t="inlineStr">
        <is>
          <t>結果B</t>
        </is>
      </c>
      <c r="K4" s="36" t="n"/>
      <c r="L4" s="40" t="inlineStr">
        <is>
          <t>No.</t>
        </is>
      </c>
      <c r="M4" s="40" t="inlineStr">
        <is>
          <t>チーム名</t>
        </is>
      </c>
      <c r="N4" s="40" t="inlineStr">
        <is>
          <t>勝</t>
        </is>
      </c>
      <c r="O4" s="40" t="inlineStr">
        <is>
          <t>分</t>
        </is>
      </c>
      <c r="P4" s="40" t="inlineStr">
        <is>
          <t>敗</t>
        </is>
      </c>
      <c r="Q4" s="40" t="inlineStr">
        <is>
          <t>勝点</t>
        </is>
      </c>
      <c r="R4" s="40" t="inlineStr">
        <is>
          <t>得点</t>
        </is>
      </c>
      <c r="S4" s="40" t="inlineStr">
        <is>
          <t>失点</t>
        </is>
      </c>
      <c r="T4" s="40" t="inlineStr">
        <is>
          <t>残試合</t>
        </is>
      </c>
      <c r="U4" s="40" t="inlineStr">
        <is>
          <t>順位</t>
        </is>
      </c>
    </row>
    <row r="5" ht="19" customHeight="1">
      <c r="A5" s="42" t="n">
        <v>1</v>
      </c>
      <c r="B5" s="43" t="inlineStr">
        <is>
          <t>野宮塗装</t>
        </is>
      </c>
      <c r="C5" s="36" t="n"/>
      <c r="D5" s="9" t="inlineStr">
        <is>
          <t>5/26(火)</t>
        </is>
      </c>
      <c r="E5" s="44">
        <f>IFERROR(VLOOKUP(1,$A$5:$B$10,2,0),"1")</f>
        <v/>
      </c>
      <c r="F5" s="45" t="n"/>
      <c r="G5" s="45" t="n"/>
      <c r="H5" s="44">
        <f>IFERROR(VLOOKUP(3,$A$5:$B$10,2,0),"3")</f>
        <v/>
      </c>
      <c r="I5" s="46">
        <f>IF(F5="","",IF(F5&gt;G5,"○",IF(F5=G5,"△","×")))</f>
        <v/>
      </c>
      <c r="J5" s="46">
        <f>IF(G5="","",IF(G5&gt;F5,"○",IF(G5=F5,"△","×")))</f>
        <v/>
      </c>
      <c r="K5" s="36" t="n"/>
      <c r="L5" s="47" t="n">
        <v>1</v>
      </c>
      <c r="M5" s="48">
        <f>IFERROR(VLOOKUP(1,$A$5:$B$10,2,0),"")</f>
        <v/>
      </c>
      <c r="N5" s="49">
        <f>IF(I5="○",1,0)+IF(I8="○",1,0)+IF(I11="○",1,0)+IF(I15="○",1,0)+IF(I17="○",1,0)</f>
        <v/>
      </c>
      <c r="O5" s="50">
        <f>IF(I5="△",1,0)+IF(I8="△",1,0)+IF(I11="△",1,0)+IF(I15="△",1,0)+IF(I17="△",1,0)</f>
        <v/>
      </c>
      <c r="P5" s="51">
        <f>IF(I5="×",1,0)+IF(I8="×",1,0)+IF(I11="×",1,0)+IF(I15="×",1,0)+IF(I17="×",1,0)</f>
        <v/>
      </c>
      <c r="Q5" s="52">
        <f>N5*3+O5</f>
        <v/>
      </c>
      <c r="R5" s="53">
        <f>IF(F5&lt;&gt;"",F5,0)+IF(F8&lt;&gt;"",F8,0)+IF(F11&lt;&gt;"",F11,0)+IF(F15&lt;&gt;"",F15,0)+IF(F17&lt;&gt;"",F17,0)</f>
        <v/>
      </c>
      <c r="S5" s="53">
        <f>IF(G5&lt;&gt;"",G5,0)+IF(G8&lt;&gt;"",G8,0)+IF(G11&lt;&gt;"",G11,0)+IF(G15&lt;&gt;"",G15,0)+IF(G17&lt;&gt;"",G17,0)</f>
        <v/>
      </c>
      <c r="T5" s="53">
        <f>5-N5-O5-P5</f>
        <v/>
      </c>
      <c r="U5" s="54">
        <f>IFERROR(RANK(Q5,$Q$5:$Q$10,0),"")</f>
        <v/>
      </c>
    </row>
    <row r="6" ht="19" customHeight="1">
      <c r="A6" s="42" t="n">
        <v>2</v>
      </c>
      <c r="B6" s="55" t="inlineStr">
        <is>
          <t>飯詰</t>
        </is>
      </c>
      <c r="C6" s="36" t="n"/>
      <c r="D6" s="25" t="inlineStr">
        <is>
          <t>5/27(水)</t>
        </is>
      </c>
      <c r="E6" s="56">
        <f>IFERROR(VLOOKUP(5,$A$5:$B$10,2,0),"5")</f>
        <v/>
      </c>
      <c r="F6" s="45" t="n"/>
      <c r="G6" s="45" t="n"/>
      <c r="H6" s="56">
        <f>IFERROR(VLOOKUP(6,$A$5:$B$10,2,0),"6")</f>
        <v/>
      </c>
      <c r="I6" s="57">
        <f>IF(F6="","",IF(F6&gt;G6,"○",IF(F6=G6,"△","×")))</f>
        <v/>
      </c>
      <c r="J6" s="57">
        <f>IF(G6="","",IF(G6&gt;F6,"○",IF(G6=F6,"△","×")))</f>
        <v/>
      </c>
      <c r="K6" s="36" t="n"/>
      <c r="L6" s="47" t="n">
        <v>2</v>
      </c>
      <c r="M6" s="58">
        <f>IFERROR(VLOOKUP(2,$A$5:$B$10,2,0),"")</f>
        <v/>
      </c>
      <c r="N6" s="59">
        <f>IF(I7="○",1,0)+IF(I9="○",1,0)+IF(I14="○",1,0)+IF(I19="○",1,0)+IF(J11="○",1,0)</f>
        <v/>
      </c>
      <c r="O6" s="60">
        <f>IF(I7="△",1,0)+IF(I9="△",1,0)+IF(I14="△",1,0)+IF(I19="△",1,0)+IF(J11="△",1,0)</f>
        <v/>
      </c>
      <c r="P6" s="61">
        <f>IF(I7="×",1,0)+IF(I9="×",1,0)+IF(I14="×",1,0)+IF(I19="×",1,0)+IF(J11="×",1,0)</f>
        <v/>
      </c>
      <c r="Q6" s="62">
        <f>N6*3+O6</f>
        <v/>
      </c>
      <c r="R6" s="63">
        <f>IF(F7&lt;&gt;"",F7,0)+IF(F9&lt;&gt;"",F9,0)+IF(F14&lt;&gt;"",F14,0)+IF(F19&lt;&gt;"",F19,0)+IF(G11&lt;&gt;"",G11,0)</f>
        <v/>
      </c>
      <c r="S6" s="63">
        <f>IF(G7&lt;&gt;"",G7,0)+IF(G9&lt;&gt;"",G9,0)+IF(G14&lt;&gt;"",G14,0)+IF(G19&lt;&gt;"",G19,0)+IF(F11&lt;&gt;"",F11,0)</f>
        <v/>
      </c>
      <c r="T6" s="63">
        <f>5-N6-O6-P6</f>
        <v/>
      </c>
      <c r="U6" s="64">
        <f>IFERROR(RANK(Q6,$Q$5:$Q$10,0),"")</f>
        <v/>
      </c>
    </row>
    <row r="7" ht="19" customHeight="1">
      <c r="A7" s="42" t="n">
        <v>3</v>
      </c>
      <c r="B7" s="43" t="inlineStr">
        <is>
          <t>バッカス</t>
        </is>
      </c>
      <c r="C7" s="36" t="n"/>
      <c r="D7" s="9" t="inlineStr">
        <is>
          <t>5/28(木)</t>
        </is>
      </c>
      <c r="E7" s="44">
        <f>IFERROR(VLOOKUP(2,$A$5:$B$10,2,0),"2")</f>
        <v/>
      </c>
      <c r="F7" s="45" t="n"/>
      <c r="G7" s="45" t="n"/>
      <c r="H7" s="44">
        <f>IFERROR(VLOOKUP(4,$A$5:$B$10,2,0),"4")</f>
        <v/>
      </c>
      <c r="I7" s="46">
        <f>IF(F7="","",IF(F7&gt;G7,"○",IF(F7=G7,"△","×")))</f>
        <v/>
      </c>
      <c r="J7" s="46">
        <f>IF(G7="","",IF(G7&gt;F7,"○",IF(G7=F7,"△","×")))</f>
        <v/>
      </c>
      <c r="K7" s="36" t="n"/>
      <c r="L7" s="47" t="n">
        <v>3</v>
      </c>
      <c r="M7" s="48">
        <f>IFERROR(VLOOKUP(3,$A$5:$B$10,2,0),"")</f>
        <v/>
      </c>
      <c r="N7" s="49">
        <f>IF(I12="○",1,0)+IF(I16="○",1,0)+IF(I18="○",1,0)+IF(J5="○",1,0)+IF(J9="○",1,0)</f>
        <v/>
      </c>
      <c r="O7" s="50">
        <f>IF(I12="△",1,0)+IF(I16="△",1,0)+IF(I18="△",1,0)+IF(J5="△",1,0)+IF(J9="△",1,0)</f>
        <v/>
      </c>
      <c r="P7" s="51">
        <f>IF(I12="×",1,0)+IF(I16="×",1,0)+IF(I18="×",1,0)+IF(J5="×",1,0)+IF(J9="×",1,0)</f>
        <v/>
      </c>
      <c r="Q7" s="52">
        <f>N7*3+O7</f>
        <v/>
      </c>
      <c r="R7" s="53">
        <f>IF(F12&lt;&gt;"",F12,0)+IF(F16&lt;&gt;"",F16,0)+IF(F18&lt;&gt;"",F18,0)+IF(G5&lt;&gt;"",G5,0)+IF(G9&lt;&gt;"",G9,0)</f>
        <v/>
      </c>
      <c r="S7" s="53">
        <f>IF(G12&lt;&gt;"",G12,0)+IF(G16&lt;&gt;"",G16,0)+IF(G18&lt;&gt;"",G18,0)+IF(F5&lt;&gt;"",F5,0)+IF(F9&lt;&gt;"",F9,0)</f>
        <v/>
      </c>
      <c r="T7" s="53">
        <f>5-N7-O7-P7</f>
        <v/>
      </c>
      <c r="U7" s="54">
        <f>IFERROR(RANK(Q7,$Q$5:$Q$10,0),"")</f>
        <v/>
      </c>
    </row>
    <row r="8" ht="19" customHeight="1">
      <c r="A8" s="42" t="n">
        <v>4</v>
      </c>
      <c r="B8" s="65" t="inlineStr">
        <is>
          <t>ウエスタン</t>
        </is>
      </c>
      <c r="C8" s="36" t="n"/>
      <c r="D8" s="25" t="inlineStr">
        <is>
          <t>6/2(火)</t>
        </is>
      </c>
      <c r="E8" s="56">
        <f>IFERROR(VLOOKUP(1,$A$5:$B$10,2,0),"1")</f>
        <v/>
      </c>
      <c r="F8" s="45" t="n"/>
      <c r="G8" s="45" t="n"/>
      <c r="H8" s="56">
        <f>IFERROR(VLOOKUP(6,$A$5:$B$10,2,0),"6")</f>
        <v/>
      </c>
      <c r="I8" s="57">
        <f>IF(F8="","",IF(F8&gt;G8,"○",IF(F8=G8,"△","×")))</f>
        <v/>
      </c>
      <c r="J8" s="57">
        <f>IF(G8="","",IF(G8&gt;F8,"○",IF(G8=F8,"△","×")))</f>
        <v/>
      </c>
      <c r="K8" s="36" t="n"/>
      <c r="L8" s="47" t="n">
        <v>4</v>
      </c>
      <c r="M8" s="66">
        <f>IFERROR(VLOOKUP(4,$A$5:$B$10,2,0),"")</f>
        <v/>
      </c>
      <c r="N8" s="67">
        <f>IF(I10="○",1,0)+IF(I13="○",1,0)+IF(J7="○",1,0)+IF(J15="○",1,0)+IF(J18="○",1,0)</f>
        <v/>
      </c>
      <c r="O8" s="68">
        <f>IF(I10="△",1,0)+IF(I13="△",1,0)+IF(J7="△",1,0)+IF(J15="△",1,0)+IF(J18="△",1,0)</f>
        <v/>
      </c>
      <c r="P8" s="69">
        <f>IF(I10="×",1,0)+IF(I13="×",1,0)+IF(J7="×",1,0)+IF(J15="×",1,0)+IF(J18="×",1,0)</f>
        <v/>
      </c>
      <c r="Q8" s="70">
        <f>N8*3+O8</f>
        <v/>
      </c>
      <c r="R8" s="71">
        <f>IF(F10&lt;&gt;"",F10,0)+IF(F13&lt;&gt;"",F13,0)+IF(G7&lt;&gt;"",G7,0)+IF(G15&lt;&gt;"",G15,0)+IF(G18&lt;&gt;"",G18,0)</f>
        <v/>
      </c>
      <c r="S8" s="71">
        <f>IF(G10&lt;&gt;"",G10,0)+IF(G13&lt;&gt;"",G13,0)+IF(F7&lt;&gt;"",F7,0)+IF(F15&lt;&gt;"",F15,0)+IF(F18&lt;&gt;"",F18,0)</f>
        <v/>
      </c>
      <c r="T8" s="71">
        <f>5-N8-O8-P8</f>
        <v/>
      </c>
      <c r="U8" s="72">
        <f>IFERROR(RANK(Q8,$Q$5:$Q$10,0),"")</f>
        <v/>
      </c>
    </row>
    <row r="9" ht="19" customHeight="1">
      <c r="A9" s="42" t="n">
        <v>5</v>
      </c>
      <c r="B9" s="43" t="inlineStr">
        <is>
          <t>富士電機</t>
        </is>
      </c>
      <c r="C9" s="36" t="n"/>
      <c r="D9" s="9" t="inlineStr">
        <is>
          <t>6/3(水)</t>
        </is>
      </c>
      <c r="E9" s="44">
        <f>IFERROR(VLOOKUP(2,$A$5:$B$10,2,0),"2")</f>
        <v/>
      </c>
      <c r="F9" s="45" t="n"/>
      <c r="G9" s="45" t="n"/>
      <c r="H9" s="44">
        <f>IFERROR(VLOOKUP(3,$A$5:$B$10,2,0),"3")</f>
        <v/>
      </c>
      <c r="I9" s="46">
        <f>IF(F9="","",IF(F9&gt;G9,"○",IF(F9=G9,"△","×")))</f>
        <v/>
      </c>
      <c r="J9" s="46">
        <f>IF(G9="","",IF(G9&gt;F9,"○",IF(G9=F9,"△","×")))</f>
        <v/>
      </c>
      <c r="K9" s="36" t="n"/>
      <c r="L9" s="47" t="n">
        <v>5</v>
      </c>
      <c r="M9" s="48">
        <f>IFERROR(VLOOKUP(5,$A$5:$B$10,2,0),"")</f>
        <v/>
      </c>
      <c r="N9" s="49">
        <f>IF(I6="○",1,0)+IF(J10="○",1,0)+IF(J12="○",1,0)+IF(J14="○",1,0)+IF(J17="○",1,0)</f>
        <v/>
      </c>
      <c r="O9" s="50">
        <f>IF(I6="△",1,0)+IF(J10="△",1,0)+IF(J12="△",1,0)+IF(J14="△",1,0)+IF(J17="△",1,0)</f>
        <v/>
      </c>
      <c r="P9" s="51">
        <f>IF(I6="×",1,0)+IF(J10="×",1,0)+IF(J12="×",1,0)+IF(J14="×",1,0)+IF(J17="×",1,0)</f>
        <v/>
      </c>
      <c r="Q9" s="52">
        <f>N9*3+O9</f>
        <v/>
      </c>
      <c r="R9" s="53">
        <f>IF(F6&lt;&gt;"",F6,0)+IF(G10&lt;&gt;"",G10,0)+IF(G12&lt;&gt;"",G12,0)+IF(G14&lt;&gt;"",G14,0)+IF(G17&lt;&gt;"",G17,0)</f>
        <v/>
      </c>
      <c r="S9" s="53">
        <f>IF(G6&lt;&gt;"",G6,0)+IF(F10&lt;&gt;"",F10,0)+IF(F12&lt;&gt;"",F12,0)+IF(F14&lt;&gt;"",F14,0)+IF(F17&lt;&gt;"",F17,0)</f>
        <v/>
      </c>
      <c r="T9" s="53">
        <f>5-N9-O9-P9</f>
        <v/>
      </c>
      <c r="U9" s="54">
        <f>IFERROR(RANK(Q9,$Q$5:$Q$10,0),"")</f>
        <v/>
      </c>
    </row>
    <row r="10" ht="19" customHeight="1">
      <c r="A10" s="42" t="n">
        <v>6</v>
      </c>
      <c r="B10" s="65" t="inlineStr">
        <is>
          <t>日産</t>
        </is>
      </c>
      <c r="C10" s="36" t="n"/>
      <c r="D10" s="25" t="inlineStr">
        <is>
          <t>6/4(木)</t>
        </is>
      </c>
      <c r="E10" s="56">
        <f>IFERROR(VLOOKUP(4,$A$5:$B$10,2,0),"4")</f>
        <v/>
      </c>
      <c r="F10" s="45" t="n"/>
      <c r="G10" s="45" t="n"/>
      <c r="H10" s="56">
        <f>IFERROR(VLOOKUP(5,$A$5:$B$10,2,0),"5")</f>
        <v/>
      </c>
      <c r="I10" s="57">
        <f>IF(F10="","",IF(F10&gt;G10,"○",IF(F10=G10,"△","×")))</f>
        <v/>
      </c>
      <c r="J10" s="57">
        <f>IF(G10="","",IF(G10&gt;F10,"○",IF(G10=F10,"△","×")))</f>
        <v/>
      </c>
      <c r="K10" s="36" t="n"/>
      <c r="L10" s="47" t="n">
        <v>6</v>
      </c>
      <c r="M10" s="66">
        <f>IFERROR(VLOOKUP(6,$A$5:$B$10,2,0),"")</f>
        <v/>
      </c>
      <c r="N10" s="67">
        <f>IF(J6="○",1,0)+IF(J8="○",1,0)+IF(J13="○",1,0)+IF(J16="○",1,0)+IF(J19="○",1,0)</f>
        <v/>
      </c>
      <c r="O10" s="68">
        <f>IF(J6="△",1,0)+IF(J8="△",1,0)+IF(J13="△",1,0)+IF(J16="△",1,0)+IF(J19="△",1,0)</f>
        <v/>
      </c>
      <c r="P10" s="69">
        <f>IF(J6="×",1,0)+IF(J8="×",1,0)+IF(J13="×",1,0)+IF(J16="×",1,0)+IF(J19="×",1,0)</f>
        <v/>
      </c>
      <c r="Q10" s="70">
        <f>N10*3+O10</f>
        <v/>
      </c>
      <c r="R10" s="71">
        <f>IF(G6&lt;&gt;"",G6,0)+IF(G8&lt;&gt;"",G8,0)+IF(G13&lt;&gt;"",G13,0)+IF(G16&lt;&gt;"",G16,0)+IF(G19&lt;&gt;"",G19,0)</f>
        <v/>
      </c>
      <c r="S10" s="71">
        <f>IF(F6&lt;&gt;"",F6,0)+IF(F8&lt;&gt;"",F8,0)+IF(F13&lt;&gt;"",F13,0)+IF(F16&lt;&gt;"",F16,0)+IF(F19&lt;&gt;"",F19,0)</f>
        <v/>
      </c>
      <c r="T10" s="71">
        <f>5-N10-O10-P10</f>
        <v/>
      </c>
      <c r="U10" s="72">
        <f>IFERROR(RANK(Q10,$Q$5:$Q$10,0),"")</f>
        <v/>
      </c>
    </row>
    <row r="11" ht="19" customHeight="1">
      <c r="C11" s="36" t="n"/>
      <c r="D11" s="9" t="inlineStr">
        <is>
          <t>6/9(火)</t>
        </is>
      </c>
      <c r="E11" s="44">
        <f>IFERROR(VLOOKUP(1,$A$5:$B$10,2,0),"1")</f>
        <v/>
      </c>
      <c r="F11" s="45" t="n"/>
      <c r="G11" s="45" t="n"/>
      <c r="H11" s="44">
        <f>IFERROR(VLOOKUP(2,$A$5:$B$10,2,0),"2")</f>
        <v/>
      </c>
      <c r="I11" s="46">
        <f>IF(F11="","",IF(F11&gt;G11,"○",IF(F11=G11,"△","×")))</f>
        <v/>
      </c>
      <c r="J11" s="46">
        <f>IF(G11="","",IF(G11&gt;F11,"○",IF(G11=F11,"△","×")))</f>
        <v/>
      </c>
      <c r="K11" s="36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</row>
    <row r="12" ht="19" customHeight="1">
      <c r="C12" s="36" t="n"/>
      <c r="D12" s="25" t="inlineStr">
        <is>
          <t>6/10(水)</t>
        </is>
      </c>
      <c r="E12" s="56">
        <f>IFERROR(VLOOKUP(3,$A$5:$B$10,2,0),"3")</f>
        <v/>
      </c>
      <c r="F12" s="45" t="n"/>
      <c r="G12" s="45" t="n"/>
      <c r="H12" s="56">
        <f>IFERROR(VLOOKUP(5,$A$5:$B$10,2,0),"5")</f>
        <v/>
      </c>
      <c r="I12" s="57">
        <f>IF(F12="","",IF(F12&gt;G12,"○",IF(F12=G12,"△","×")))</f>
        <v/>
      </c>
      <c r="J12" s="57">
        <f>IF(G12="","",IF(G12&gt;F12,"○",IF(G12=F12,"△","×")))</f>
        <v/>
      </c>
      <c r="K12" s="36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</row>
    <row r="13" ht="19" customHeight="1">
      <c r="C13" s="36" t="n"/>
      <c r="D13" s="9" t="inlineStr">
        <is>
          <t>6/11(木)</t>
        </is>
      </c>
      <c r="E13" s="44">
        <f>IFERROR(VLOOKUP(4,$A$5:$B$10,2,0),"4")</f>
        <v/>
      </c>
      <c r="F13" s="45" t="n"/>
      <c r="G13" s="45" t="n"/>
      <c r="H13" s="44">
        <f>IFERROR(VLOOKUP(6,$A$5:$B$10,2,0),"6")</f>
        <v/>
      </c>
      <c r="I13" s="46">
        <f>IF(F13="","",IF(F13&gt;G13,"○",IF(F13=G13,"△","×")))</f>
        <v/>
      </c>
      <c r="J13" s="46">
        <f>IF(G13="","",IF(G13&gt;F13,"○",IF(G13=F13,"△","×")))</f>
        <v/>
      </c>
      <c r="K13" s="36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</row>
    <row r="14" ht="19" customHeight="1">
      <c r="C14" s="36" t="n"/>
      <c r="D14" s="25" t="inlineStr">
        <is>
          <t>6/23(火)</t>
        </is>
      </c>
      <c r="E14" s="56">
        <f>IFERROR(VLOOKUP(2,$A$5:$B$10,2,0),"2")</f>
        <v/>
      </c>
      <c r="F14" s="45" t="n"/>
      <c r="G14" s="45" t="n"/>
      <c r="H14" s="56">
        <f>IFERROR(VLOOKUP(5,$A$5:$B$10,2,0),"5")</f>
        <v/>
      </c>
      <c r="I14" s="57">
        <f>IF(F14="","",IF(F14&gt;G14,"○",IF(F14=G14,"△","×")))</f>
        <v/>
      </c>
      <c r="J14" s="57">
        <f>IF(G14="","",IF(G14&gt;F14,"○",IF(G14=F14,"△","×")))</f>
        <v/>
      </c>
      <c r="K14" s="36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</row>
    <row r="15" ht="19" customHeight="1">
      <c r="C15" s="36" t="n"/>
      <c r="D15" s="9" t="inlineStr">
        <is>
          <t>6/24(水)</t>
        </is>
      </c>
      <c r="E15" s="44">
        <f>IFERROR(VLOOKUP(1,$A$5:$B$10,2,0),"1")</f>
        <v/>
      </c>
      <c r="F15" s="45" t="n"/>
      <c r="G15" s="45" t="n"/>
      <c r="H15" s="44">
        <f>IFERROR(VLOOKUP(4,$A$5:$B$10,2,0),"4")</f>
        <v/>
      </c>
      <c r="I15" s="46">
        <f>IF(F15="","",IF(F15&gt;G15,"○",IF(F15=G15,"△","×")))</f>
        <v/>
      </c>
      <c r="J15" s="46">
        <f>IF(G15="","",IF(G15&gt;F15,"○",IF(G15=F15,"△","×")))</f>
        <v/>
      </c>
      <c r="K15" s="36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</row>
    <row r="16" ht="19" customHeight="1">
      <c r="C16" s="36" t="n"/>
      <c r="D16" s="25" t="inlineStr">
        <is>
          <t>6/25(木)</t>
        </is>
      </c>
      <c r="E16" s="56">
        <f>IFERROR(VLOOKUP(3,$A$5:$B$10,2,0),"3")</f>
        <v/>
      </c>
      <c r="F16" s="45" t="n"/>
      <c r="G16" s="45" t="n"/>
      <c r="H16" s="56">
        <f>IFERROR(VLOOKUP(6,$A$5:$B$10,2,0),"6")</f>
        <v/>
      </c>
      <c r="I16" s="57">
        <f>IF(F16="","",IF(F16&gt;G16,"○",IF(F16=G16,"△","×")))</f>
        <v/>
      </c>
      <c r="J16" s="57">
        <f>IF(G16="","",IF(G16&gt;F16,"○",IF(G16=F16,"△","×")))</f>
        <v/>
      </c>
      <c r="K16" s="36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</row>
    <row r="17" ht="19" customHeight="1">
      <c r="C17" s="36" t="n"/>
      <c r="D17" s="9" t="inlineStr">
        <is>
          <t>6/30(火)</t>
        </is>
      </c>
      <c r="E17" s="44">
        <f>IFERROR(VLOOKUP(1,$A$5:$B$10,2,0),"1")</f>
        <v/>
      </c>
      <c r="F17" s="45" t="n"/>
      <c r="G17" s="45" t="n"/>
      <c r="H17" s="44">
        <f>IFERROR(VLOOKUP(5,$A$5:$B$10,2,0),"5")</f>
        <v/>
      </c>
      <c r="I17" s="46">
        <f>IF(F17="","",IF(F17&gt;G17,"○",IF(F17=G17,"△","×")))</f>
        <v/>
      </c>
      <c r="J17" s="46">
        <f>IF(G17="","",IF(G17&gt;F17,"○",IF(G17=F17,"△","×")))</f>
        <v/>
      </c>
      <c r="K17" s="36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</row>
    <row r="18" ht="19" customHeight="1">
      <c r="C18" s="36" t="n"/>
      <c r="D18" s="25" t="inlineStr">
        <is>
          <t>7/1(水)</t>
        </is>
      </c>
      <c r="E18" s="56">
        <f>IFERROR(VLOOKUP(3,$A$5:$B$10,2,0),"3")</f>
        <v/>
      </c>
      <c r="F18" s="45" t="n"/>
      <c r="G18" s="45" t="n"/>
      <c r="H18" s="56">
        <f>IFERROR(VLOOKUP(4,$A$5:$B$10,2,0),"4")</f>
        <v/>
      </c>
      <c r="I18" s="57">
        <f>IF(F18="","",IF(F18&gt;G18,"○",IF(F18=G18,"△","×")))</f>
        <v/>
      </c>
      <c r="J18" s="57">
        <f>IF(G18="","",IF(G18&gt;F18,"○",IF(G18=F18,"△","×")))</f>
        <v/>
      </c>
      <c r="K18" s="36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</row>
    <row r="19" ht="19" customHeight="1">
      <c r="C19" s="36" t="n"/>
      <c r="D19" s="9" t="inlineStr">
        <is>
          <t>7/2(木)</t>
        </is>
      </c>
      <c r="E19" s="44">
        <f>IFERROR(VLOOKUP(2,$A$5:$B$10,2,0),"2")</f>
        <v/>
      </c>
      <c r="F19" s="45" t="n"/>
      <c r="G19" s="45" t="n"/>
      <c r="H19" s="44">
        <f>IFERROR(VLOOKUP(6,$A$5:$B$10,2,0),"6")</f>
        <v/>
      </c>
      <c r="I19" s="46">
        <f>IF(F19="","",IF(F19&gt;G19,"○",IF(F19=G19,"△","×")))</f>
        <v/>
      </c>
      <c r="J19" s="46">
        <f>IF(G19="","",IF(G19&gt;F19,"○",IF(G19=F19,"△","×")))</f>
        <v/>
      </c>
      <c r="K19" s="36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</row>
    <row r="20" ht="8" customHeight="1">
      <c r="C20" s="36" t="n"/>
      <c r="K20" s="36" t="n"/>
    </row>
    <row r="21" ht="14" customHeight="1">
      <c r="A21" s="34" t="inlineStr">
        <is>
          <t>※ 黄色セルに得点を入力 → 勝敗・成績表が自動更新　◆ 降雨中止は「☂」と入力　◆ チーム名はA列に名前を入力すれば全体に反映</t>
        </is>
      </c>
    </row>
    <row r="22" ht="16" customHeight="1">
      <c r="A22" s="74" t="inlineStr">
        <is>
          <t>★ 飯　詰　チーム</t>
        </is>
      </c>
      <c r="C22" s="36" t="n"/>
      <c r="D22" s="75" t="inlineStr">
        <is>
          <t>■ 勝　点 = 勝×3 + 分×1</t>
        </is>
      </c>
      <c r="K22" s="36" t="n"/>
    </row>
    <row r="23" ht="19" customHeight="1">
      <c r="C23" s="36" t="n"/>
      <c r="K23" s="36" t="n"/>
    </row>
    <row r="24" ht="19" customHeight="1">
      <c r="C24" s="36" t="n"/>
      <c r="K24" s="36" t="n"/>
    </row>
    <row r="25" ht="19" customHeight="1">
      <c r="C25" s="36" t="n"/>
      <c r="K25" s="36" t="n"/>
    </row>
    <row r="26" ht="19" customHeight="1">
      <c r="C26" s="36" t="n"/>
      <c r="K26" s="36" t="n"/>
    </row>
    <row r="27" ht="19" customHeight="1">
      <c r="C27" s="36" t="n"/>
      <c r="K27" s="36" t="n"/>
    </row>
    <row r="28" ht="19" customHeight="1">
      <c r="C28" s="36" t="n"/>
      <c r="K28" s="36" t="n"/>
    </row>
    <row r="29" ht="19" customHeight="1">
      <c r="C29" s="36" t="n"/>
      <c r="K29" s="36" t="n"/>
    </row>
    <row r="30" ht="19" customHeight="1">
      <c r="C30" s="36" t="n"/>
      <c r="K30" s="36" t="n"/>
    </row>
    <row r="31" ht="19" customHeight="1"/>
    <row r="32" ht="19" customHeight="1"/>
    <row r="33" ht="19" customHeight="1"/>
    <row r="34" ht="19" customHeight="1"/>
  </sheetData>
  <mergeCells count="8">
    <mergeCell ref="A21:U21"/>
    <mergeCell ref="A2:U2"/>
    <mergeCell ref="D3:J3"/>
    <mergeCell ref="L3:U3"/>
    <mergeCell ref="D22:E22"/>
    <mergeCell ref="A1:U1"/>
    <mergeCell ref="A3:B3"/>
    <mergeCell ref="A22:B22"/>
  </mergeCell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2026-05-15T14:12:18Z</dcterms:created>
  <dcterms:modified xsi:type="dcterms:W3CDTF">2026-05-15T14:12:18Z</dcterms:modified>
</cp:coreProperties>
</file>