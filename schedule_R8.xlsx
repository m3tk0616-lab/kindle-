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リーグ勝敗表" sheetId="1" state="visible" r:id="rId1"/>
    <sheet name="日程表１" sheetId="2" state="visible" r:id="rId2"/>
    <sheet name="使い方" sheetId="3" state="visible" r:id="rId3"/>
    <sheet name="日程表２" sheetId="4" state="visible" r:id="rId4"/>
  </sheets>
  <definedNames>
    <definedName name="_xlnm.Print_Area" localSheetId="0">'リーグ勝敗表'!$A$1:$AT$28</definedName>
    <definedName name="_xlnm.Print_Area" localSheetId="1">'日程表１'!$A$1:$Y$42</definedName>
    <definedName name="_xlnm.Print_Area" localSheetId="2">'使い方'!$A$1:$L$63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d"/>
    <numFmt numFmtId="166" formatCode="0_);[Red]\(0\)"/>
  </numFmts>
  <fonts count="27">
    <font>
      <name val="メイリオ"/>
      <charset val="128"/>
      <family val="2"/>
      <color theme="1"/>
      <sz val="11"/>
      <scheme val="minor"/>
    </font>
    <font>
      <name val="メイリオ"/>
      <charset val="128"/>
      <family val="2"/>
      <sz val="6"/>
      <scheme val="minor"/>
    </font>
    <font>
      <name val="メイリオ"/>
      <charset val="128"/>
      <family val="3"/>
      <color theme="1"/>
      <sz val="8"/>
      <scheme val="minor"/>
    </font>
    <font>
      <name val="メイリオ"/>
      <charset val="128"/>
      <family val="3"/>
      <b val="1"/>
      <color theme="1"/>
      <sz val="10"/>
      <scheme val="minor"/>
    </font>
    <font>
      <name val="メイリオ"/>
      <charset val="128"/>
      <family val="3"/>
      <b val="1"/>
      <color theme="0"/>
      <sz val="10"/>
      <scheme val="minor"/>
    </font>
    <font>
      <name val="メイリオ"/>
      <charset val="128"/>
      <family val="3"/>
      <b val="1"/>
      <color theme="0"/>
      <sz val="48"/>
      <scheme val="minor"/>
    </font>
    <font>
      <name val="メイリオ"/>
      <charset val="128"/>
      <family val="3"/>
      <b val="1"/>
      <color theme="0"/>
      <sz val="16"/>
      <scheme val="minor"/>
    </font>
    <font>
      <name val="メイリオ"/>
      <charset val="128"/>
      <family val="3"/>
      <color theme="0"/>
      <sz val="11"/>
      <scheme val="minor"/>
    </font>
    <font>
      <name val="メイリオ"/>
      <charset val="128"/>
      <family val="3"/>
      <color theme="1"/>
      <sz val="18"/>
      <scheme val="minor"/>
    </font>
    <font>
      <name val="AR P丸ゴシック体E"/>
      <charset val="128"/>
      <family val="3"/>
      <b val="1"/>
      <color theme="0"/>
      <sz val="12"/>
    </font>
    <font>
      <name val="メイリオ"/>
      <charset val="128"/>
      <family val="3"/>
      <color theme="0"/>
      <sz val="14"/>
      <scheme val="minor"/>
    </font>
    <font>
      <name val="メイリオ"/>
      <charset val="128"/>
      <family val="3"/>
      <color theme="1"/>
      <sz val="11"/>
      <scheme val="minor"/>
    </font>
    <font>
      <name val="メイリオ"/>
      <charset val="128"/>
      <family val="3"/>
      <color theme="1"/>
      <sz val="12"/>
      <scheme val="minor"/>
    </font>
    <font>
      <name val="メイリオ"/>
      <charset val="128"/>
      <family val="3"/>
      <color theme="1"/>
      <sz val="14"/>
      <scheme val="minor"/>
    </font>
    <font>
      <name val="MS P ゴシック"/>
      <charset val="128"/>
      <family val="3"/>
      <color indexed="81"/>
      <sz val="12"/>
    </font>
    <font>
      <name val="AR P丸ゴシック体E"/>
      <charset val="128"/>
      <family val="3"/>
      <color theme="1"/>
      <sz val="20"/>
    </font>
    <font>
      <name val="AR P丸ゴシック体M"/>
      <charset val="128"/>
      <family val="3"/>
      <b val="1"/>
      <color theme="1"/>
      <sz val="14"/>
    </font>
    <font>
      <name val="メイリオ"/>
      <charset val="128"/>
      <family val="3"/>
      <color theme="1"/>
      <sz val="9"/>
      <scheme val="minor"/>
    </font>
    <font>
      <name val="メイリオ"/>
      <charset val="128"/>
      <family val="3"/>
      <color rgb="FFFF0000"/>
      <sz val="8"/>
      <scheme val="minor"/>
    </font>
    <font>
      <name val="メイリオ"/>
      <charset val="128"/>
      <family val="3"/>
      <color theme="1"/>
      <sz val="10"/>
      <scheme val="minor"/>
    </font>
    <font>
      <name val="メイリオ"/>
      <charset val="128"/>
      <family val="3"/>
      <b val="1"/>
      <color theme="1"/>
      <sz val="11"/>
      <scheme val="minor"/>
    </font>
    <font>
      <name val="游ゴシック Medium"/>
      <charset val="128"/>
      <family val="3"/>
      <color theme="1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color rgb="FF0070C0"/>
      <sz val="11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b val="1"/>
      <sz val="24"/>
    </font>
    <font>
      <name val="メイリオ"/>
      <color theme="1"/>
      <sz val="8"/>
    </font>
  </fonts>
  <fills count="12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1" tint="0.249977111117893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Down="1">
      <left/>
      <right/>
      <top/>
      <bottom style="medium">
        <color indexed="64"/>
      </bottom>
      <diagonal style="thin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Down="1">
      <left/>
      <right style="medium">
        <color indexed="64"/>
      </right>
      <top/>
      <bottom/>
      <diagonal style="thin">
        <color indexed="64"/>
      </diagonal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36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10" fillId="4" borderId="34" applyAlignment="1" pivotButton="0" quotePrefix="0" xfId="0">
      <alignment horizontal="center" vertical="center" textRotation="255"/>
    </xf>
    <xf numFmtId="0" fontId="12" fillId="0" borderId="1" applyAlignment="1" pivotButton="0" quotePrefix="0" xfId="0">
      <alignment horizontal="center" vertical="center"/>
    </xf>
    <xf numFmtId="0" fontId="12" fillId="0" borderId="3" applyAlignment="1" applyProtection="1" pivotButton="0" quotePrefix="0" xfId="0">
      <alignment horizontal="center" vertical="center"/>
      <protection locked="0" hidden="0"/>
    </xf>
    <xf numFmtId="0" fontId="12" fillId="0" borderId="1" applyAlignment="1" applyProtection="1" pivotButton="0" quotePrefix="0" xfId="0">
      <alignment horizontal="center" vertical="center"/>
      <protection locked="0" hidden="0"/>
    </xf>
    <xf numFmtId="0" fontId="12" fillId="0" borderId="2" applyAlignment="1" applyProtection="1" pivotButton="0" quotePrefix="0" xfId="0">
      <alignment horizontal="center" vertical="center"/>
      <protection locked="0" hidden="0"/>
    </xf>
    <xf numFmtId="164" fontId="12" fillId="0" borderId="1" applyAlignment="1" pivotButton="0" quotePrefix="0" xfId="0">
      <alignment horizontal="center" vertical="center"/>
    </xf>
    <xf numFmtId="0" fontId="12" fillId="6" borderId="15" applyAlignment="1" applyProtection="1" pivotButton="0" quotePrefix="0" xfId="0">
      <alignment horizontal="center" vertical="center"/>
      <protection locked="0" hidden="0"/>
    </xf>
    <xf numFmtId="0" fontId="12" fillId="6" borderId="15" applyAlignment="1" pivotButton="0" quotePrefix="0" xfId="0">
      <alignment horizontal="center" vertical="center"/>
    </xf>
    <xf numFmtId="0" fontId="12" fillId="6" borderId="27" applyAlignment="1" applyProtection="1" pivotButton="0" quotePrefix="0" xfId="0">
      <alignment horizontal="center" vertical="center"/>
      <protection locked="0" hidden="0"/>
    </xf>
    <xf numFmtId="0" fontId="12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7" fillId="0" borderId="4" applyAlignment="1" applyProtection="1" pivotButton="0" quotePrefix="0" xfId="0">
      <alignment horizontal="center" vertical="center"/>
      <protection locked="0" hidden="0"/>
    </xf>
    <xf numFmtId="0" fontId="17" fillId="0" borderId="37" applyAlignment="1" pivotButton="0" quotePrefix="0" xfId="0">
      <alignment horizontal="center" vertical="center"/>
    </xf>
    <xf numFmtId="0" fontId="17" fillId="0" borderId="37" applyAlignment="1" applyProtection="1" pivotButton="0" quotePrefix="0" xfId="0">
      <alignment horizontal="center" vertical="center"/>
      <protection locked="0" hidden="0"/>
    </xf>
    <xf numFmtId="0" fontId="17" fillId="0" borderId="2" applyAlignment="1" applyProtection="1" pivotButton="0" quotePrefix="0" xfId="0">
      <alignment horizontal="center" vertical="center"/>
      <protection locked="0" hidden="0"/>
    </xf>
    <xf numFmtId="0" fontId="17" fillId="0" borderId="33" applyAlignment="1" applyProtection="1" pivotButton="0" quotePrefix="0" xfId="0">
      <alignment horizontal="center" vertical="center"/>
      <protection locked="0" hidden="0"/>
    </xf>
    <xf numFmtId="0" fontId="17" fillId="0" borderId="0" applyAlignment="1" applyProtection="1" pivotButton="0" quotePrefix="0" xfId="0">
      <alignment horizontal="center" vertical="center"/>
      <protection locked="0" hidden="0"/>
    </xf>
    <xf numFmtId="0" fontId="18" fillId="0" borderId="1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37" applyAlignment="1" pivotButton="0" quotePrefix="0" xfId="0">
      <alignment horizontal="center" vertical="center"/>
    </xf>
    <xf numFmtId="0" fontId="2" fillId="0" borderId="37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44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3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10" fillId="8" borderId="25" applyAlignment="1" pivotButton="0" quotePrefix="0" xfId="0">
      <alignment horizontal="center" vertical="center" textRotation="255"/>
    </xf>
    <xf numFmtId="0" fontId="10" fillId="8" borderId="26" applyAlignment="1" pivotButton="0" quotePrefix="0" xfId="0">
      <alignment horizontal="center" vertical="center" textRotation="255"/>
    </xf>
    <xf numFmtId="0" fontId="10" fillId="8" borderId="35" applyAlignment="1" pivotButton="0" quotePrefix="0" xfId="0">
      <alignment horizontal="center" vertical="center" textRotation="255"/>
    </xf>
    <xf numFmtId="0" fontId="10" fillId="8" borderId="43" applyAlignment="1" pivotButton="0" quotePrefix="0" xfId="0">
      <alignment horizontal="center" vertical="center" textRotation="255"/>
    </xf>
    <xf numFmtId="164" fontId="12" fillId="6" borderId="15" applyAlignment="1" applyProtection="1" pivotButton="0" quotePrefix="0" xfId="0">
      <alignment horizontal="center" vertical="center"/>
      <protection locked="0" hidden="0"/>
    </xf>
    <xf numFmtId="0" fontId="12" fillId="9" borderId="1" applyAlignment="1" pivotButton="0" quotePrefix="0" xfId="0">
      <alignment horizontal="center" vertical="center"/>
    </xf>
    <xf numFmtId="0" fontId="12" fillId="9" borderId="1" applyAlignment="1" applyProtection="1" pivotButton="0" quotePrefix="0" xfId="0">
      <alignment horizontal="center" vertical="center"/>
      <protection locked="0" hidden="0"/>
    </xf>
    <xf numFmtId="0" fontId="12" fillId="9" borderId="13" applyAlignment="1" applyProtection="1" pivotButton="0" quotePrefix="0" xfId="0">
      <alignment horizontal="center" vertical="center"/>
      <protection locked="0" hidden="0"/>
    </xf>
    <xf numFmtId="0" fontId="12" fillId="9" borderId="14" applyAlignment="1" applyProtection="1" pivotButton="0" quotePrefix="0" xfId="0">
      <alignment horizontal="center" vertical="center"/>
      <protection locked="0" hidden="0"/>
    </xf>
    <xf numFmtId="0" fontId="2" fillId="7" borderId="2" applyAlignment="1" applyProtection="1" pivotButton="0" quotePrefix="0" xfId="0">
      <alignment horizontal="center" vertical="center"/>
      <protection locked="0" hidden="0"/>
    </xf>
    <xf numFmtId="0" fontId="2" fillId="7" borderId="33" applyAlignment="1" pivotButton="0" quotePrefix="0" xfId="0">
      <alignment horizontal="center" vertical="center"/>
    </xf>
    <xf numFmtId="0" fontId="2" fillId="7" borderId="33" applyAlignment="1" applyProtection="1" pivotButton="0" quotePrefix="0" xfId="0">
      <alignment horizontal="center" vertical="center"/>
      <protection locked="0" hidden="0"/>
    </xf>
    <xf numFmtId="0" fontId="17" fillId="6" borderId="2" applyAlignment="1" applyProtection="1" pivotButton="0" quotePrefix="0" xfId="0">
      <alignment horizontal="center" vertical="center"/>
      <protection locked="0" hidden="0"/>
    </xf>
    <xf numFmtId="0" fontId="17" fillId="6" borderId="33" applyAlignment="1" pivotButton="0" quotePrefix="0" xfId="0">
      <alignment horizontal="center" vertical="center"/>
    </xf>
    <xf numFmtId="0" fontId="17" fillId="6" borderId="33" applyAlignment="1" applyProtection="1" pivotButton="0" quotePrefix="0" xfId="0">
      <alignment horizontal="center" vertical="center"/>
      <protection locked="0" hidden="0"/>
    </xf>
    <xf numFmtId="0" fontId="0" fillId="6" borderId="0" applyAlignment="1" pivotButton="0" quotePrefix="0" xfId="0">
      <alignment horizontal="center" vertical="center"/>
    </xf>
    <xf numFmtId="0" fontId="17" fillId="0" borderId="33" applyAlignment="1" pivotButton="0" quotePrefix="0" xfId="0">
      <alignment horizontal="center" vertical="center"/>
    </xf>
    <xf numFmtId="165" fontId="17" fillId="0" borderId="1" applyAlignment="1" pivotButton="0" quotePrefix="0" xfId="0">
      <alignment horizontal="center" vertical="center"/>
    </xf>
    <xf numFmtId="165" fontId="17" fillId="3" borderId="1" applyAlignment="1" pivotButton="0" quotePrefix="0" xfId="0">
      <alignment horizontal="center" vertical="center"/>
    </xf>
    <xf numFmtId="0" fontId="17" fillId="0" borderId="13" applyAlignment="1" pivotButton="0" quotePrefix="0" xfId="0">
      <alignment horizontal="center" vertical="center"/>
    </xf>
    <xf numFmtId="165" fontId="17" fillId="0" borderId="13" applyAlignment="1" pivotButton="0" quotePrefix="0" xfId="0">
      <alignment horizontal="center" vertical="center"/>
    </xf>
    <xf numFmtId="0" fontId="17" fillId="0" borderId="14" applyAlignment="1" applyProtection="1" pivotButton="0" quotePrefix="0" xfId="0">
      <alignment horizontal="center" vertical="center"/>
      <protection locked="0" hidden="0"/>
    </xf>
    <xf numFmtId="165" fontId="17" fillId="0" borderId="56" applyAlignment="1" pivotButton="0" quotePrefix="0" xfId="0">
      <alignment horizontal="center" vertical="center"/>
    </xf>
    <xf numFmtId="0" fontId="17" fillId="0" borderId="58" applyAlignment="1" applyProtection="1" pivotButton="0" quotePrefix="0" xfId="0">
      <alignment horizontal="center" vertical="center"/>
      <protection locked="0" hidden="0"/>
    </xf>
    <xf numFmtId="0" fontId="17" fillId="0" borderId="59" applyAlignment="1" pivotButton="0" quotePrefix="0" xfId="0">
      <alignment horizontal="center" vertical="center"/>
    </xf>
    <xf numFmtId="0" fontId="17" fillId="0" borderId="27" applyAlignment="1" applyProtection="1" pivotButton="0" quotePrefix="0" xfId="0">
      <alignment horizontal="center" vertical="center"/>
      <protection locked="0" hidden="0"/>
    </xf>
    <xf numFmtId="0" fontId="17" fillId="0" borderId="57" applyAlignment="1" pivotButton="0" quotePrefix="0" xfId="0">
      <alignment horizontal="center" vertical="center"/>
    </xf>
    <xf numFmtId="0" fontId="17" fillId="0" borderId="57" applyAlignment="1" applyProtection="1" pivotButton="0" quotePrefix="0" xfId="0">
      <alignment horizontal="center" vertical="center"/>
      <protection locked="0" hidden="0"/>
    </xf>
    <xf numFmtId="0" fontId="12" fillId="3" borderId="3" applyAlignment="1" applyProtection="1" pivotButton="0" quotePrefix="0" xfId="0">
      <alignment horizontal="center" vertical="center"/>
      <protection locked="0" hidden="0"/>
    </xf>
    <xf numFmtId="0" fontId="12" fillId="3" borderId="1" applyAlignment="1" applyProtection="1" pivotButton="0" quotePrefix="0" xfId="0">
      <alignment horizontal="center" vertical="center"/>
      <protection locked="0" hidden="0"/>
    </xf>
    <xf numFmtId="0" fontId="12" fillId="3" borderId="2" applyAlignment="1" applyProtection="1" pivotButton="0" quotePrefix="0" xfId="0">
      <alignment horizontal="center" vertical="center"/>
      <protection locked="0" hidden="0"/>
    </xf>
    <xf numFmtId="0" fontId="17" fillId="7" borderId="2" applyAlignment="1" applyProtection="1" pivotButton="0" quotePrefix="0" xfId="0">
      <alignment horizontal="center" vertical="center"/>
      <protection locked="0" hidden="0"/>
    </xf>
    <xf numFmtId="0" fontId="17" fillId="7" borderId="33" applyAlignment="1" pivotButton="0" quotePrefix="0" xfId="0">
      <alignment horizontal="center" vertical="center"/>
    </xf>
    <xf numFmtId="0" fontId="17" fillId="7" borderId="33" applyAlignment="1" applyProtection="1" pivotButton="0" quotePrefix="0" xfId="0">
      <alignment horizontal="center" vertical="center"/>
      <protection locked="0" hidden="0"/>
    </xf>
    <xf numFmtId="0" fontId="17" fillId="7" borderId="14" applyAlignment="1" applyProtection="1" pivotButton="0" quotePrefix="0" xfId="0">
      <alignment horizontal="center" vertical="center"/>
      <protection locked="0" hidden="0"/>
    </xf>
    <xf numFmtId="0" fontId="0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165" fontId="17" fillId="0" borderId="3" applyAlignment="1" pivotButton="0" quotePrefix="0" xfId="0">
      <alignment horizontal="center" vertical="center"/>
    </xf>
    <xf numFmtId="165" fontId="17" fillId="0" borderId="61" applyAlignment="1" pivotButton="0" quotePrefix="0" xfId="0">
      <alignment horizontal="center" vertical="center"/>
    </xf>
    <xf numFmtId="0" fontId="17" fillId="10" borderId="32" applyAlignment="1" pivotButton="0" quotePrefix="0" xfId="0">
      <alignment horizontal="center" vertical="center" shrinkToFit="1"/>
    </xf>
    <xf numFmtId="0" fontId="17" fillId="0" borderId="6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3" fillId="0" borderId="15" applyAlignment="1" pivotButton="0" quotePrefix="0" xfId="0">
      <alignment horizontal="center" vertical="center"/>
    </xf>
    <xf numFmtId="0" fontId="17" fillId="11" borderId="2" applyAlignment="1" applyProtection="1" pivotButton="0" quotePrefix="0" xfId="0">
      <alignment horizontal="center" vertical="center"/>
      <protection locked="0" hidden="0"/>
    </xf>
    <xf numFmtId="0" fontId="17" fillId="11" borderId="33" applyAlignment="1" pivotButton="0" quotePrefix="0" xfId="0">
      <alignment horizontal="center" vertical="center"/>
    </xf>
    <xf numFmtId="0" fontId="17" fillId="11" borderId="33" applyAlignment="1" applyProtection="1" pivotButton="0" quotePrefix="0" xfId="0">
      <alignment horizontal="center" vertical="center"/>
      <protection locked="0" hidden="0"/>
    </xf>
    <xf numFmtId="0" fontId="17" fillId="11" borderId="14" applyAlignment="1" applyProtection="1" pivotButton="0" quotePrefix="0" xfId="0">
      <alignment horizontal="center" vertical="center"/>
      <protection locked="0" hidden="0"/>
    </xf>
    <xf numFmtId="0" fontId="17" fillId="11" borderId="27" applyAlignment="1" applyProtection="1" pivotButton="0" quotePrefix="0" xfId="0">
      <alignment horizontal="center" vertical="center"/>
      <protection locked="0" hidden="0"/>
    </xf>
    <xf numFmtId="0" fontId="17" fillId="11" borderId="57" applyAlignment="1" pivotButton="0" quotePrefix="0" xfId="0">
      <alignment horizontal="center" vertical="center"/>
    </xf>
    <xf numFmtId="0" fontId="17" fillId="11" borderId="57" applyAlignment="1" applyProtection="1" pivotButton="0" quotePrefix="0" xfId="0">
      <alignment horizontal="center" vertical="center"/>
      <protection locked="0" hidden="0"/>
    </xf>
    <xf numFmtId="0" fontId="17" fillId="11" borderId="58" applyAlignment="1" applyProtection="1" pivotButton="0" quotePrefix="0" xfId="0">
      <alignment horizontal="center" vertical="center"/>
      <protection locked="0" hidden="0"/>
    </xf>
    <xf numFmtId="0" fontId="12" fillId="3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3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7" borderId="37" applyAlignment="1" pivotButton="0" quotePrefix="0" xfId="0">
      <alignment horizontal="center" vertical="center"/>
    </xf>
    <xf numFmtId="0" fontId="15" fillId="2" borderId="40" applyAlignment="1" pivotButton="0" quotePrefix="0" xfId="0">
      <alignment horizontal="center" vertical="center"/>
    </xf>
    <xf numFmtId="0" fontId="15" fillId="2" borderId="41" applyAlignment="1" pivotButton="0" quotePrefix="0" xfId="0">
      <alignment horizontal="center" vertical="center"/>
    </xf>
    <xf numFmtId="0" fontId="15" fillId="3" borderId="40" applyAlignment="1" pivotButton="0" quotePrefix="0" xfId="0">
      <alignment horizontal="center" vertical="center"/>
    </xf>
    <xf numFmtId="0" fontId="15" fillId="3" borderId="41" applyAlignment="1" pivotButton="0" quotePrefix="0" xfId="0">
      <alignment horizontal="center" vertical="center"/>
    </xf>
    <xf numFmtId="0" fontId="15" fillId="3" borderId="42" applyAlignment="1" pivotButton="0" quotePrefix="0" xfId="0">
      <alignment horizontal="center" vertical="center"/>
    </xf>
    <xf numFmtId="0" fontId="9" fillId="8" borderId="24" applyAlignment="1" pivotButton="0" quotePrefix="0" xfId="0">
      <alignment horizontal="center" vertical="center" wrapText="1"/>
    </xf>
    <xf numFmtId="0" fontId="9" fillId="8" borderId="22" applyAlignment="1" pivotButton="0" quotePrefix="0" xfId="0">
      <alignment horizontal="center" vertical="center" wrapText="1"/>
    </xf>
    <xf numFmtId="0" fontId="4" fillId="8" borderId="21" applyAlignment="1" pivotButton="0" quotePrefix="0" xfId="0">
      <alignment horizontal="center" vertical="center"/>
    </xf>
    <xf numFmtId="0" fontId="4" fillId="8" borderId="22" applyAlignment="1" pivotButton="0" quotePrefix="0" xfId="0">
      <alignment horizontal="center" vertical="center"/>
    </xf>
    <xf numFmtId="0" fontId="4" fillId="8" borderId="23" applyAlignment="1" pivotButton="0" quotePrefix="0" xfId="0">
      <alignment horizontal="center" vertical="center"/>
    </xf>
    <xf numFmtId="0" fontId="12" fillId="0" borderId="30" applyAlignment="1" applyProtection="1" pivotButton="0" quotePrefix="0" xfId="0">
      <alignment horizontal="center" vertical="center"/>
      <protection locked="1" hidden="1"/>
    </xf>
    <xf numFmtId="0" fontId="12" fillId="0" borderId="31" applyAlignment="1" applyProtection="1" pivotButton="0" quotePrefix="0" xfId="0">
      <alignment horizontal="center" vertical="center"/>
      <protection locked="1" hidden="1"/>
    </xf>
    <xf numFmtId="0" fontId="12" fillId="0" borderId="32" applyAlignment="1" applyProtection="1" pivotButton="0" quotePrefix="0" xfId="0">
      <alignment horizontal="center" vertical="center"/>
      <protection locked="1" hidden="1"/>
    </xf>
    <xf numFmtId="0" fontId="15" fillId="3" borderId="39" applyAlignment="1" pivotButton="0" quotePrefix="0" xfId="0">
      <alignment horizontal="center" vertical="center"/>
    </xf>
    <xf numFmtId="0" fontId="15" fillId="9" borderId="40" applyAlignment="1" pivotButton="0" quotePrefix="0" xfId="0">
      <alignment horizontal="center" vertical="center"/>
    </xf>
    <xf numFmtId="0" fontId="15" fillId="9" borderId="41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 wrapText="1"/>
    </xf>
    <xf numFmtId="0" fontId="16" fillId="3" borderId="20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6" fillId="3" borderId="1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3" borderId="4" applyAlignment="1" applyProtection="1" pivotButton="0" quotePrefix="0" xfId="0">
      <alignment horizontal="center" vertical="center"/>
      <protection locked="1" hidden="1"/>
    </xf>
    <xf numFmtId="0" fontId="12" fillId="3" borderId="37" applyAlignment="1" applyProtection="1" pivotButton="0" quotePrefix="0" xfId="0">
      <alignment horizontal="center" vertical="center"/>
      <protection locked="1" hidden="1"/>
    </xf>
    <xf numFmtId="0" fontId="12" fillId="3" borderId="44" applyAlignment="1" applyProtection="1" pivotButton="0" quotePrefix="0" xfId="0">
      <alignment horizontal="center" vertical="center"/>
      <protection locked="1" hidden="1"/>
    </xf>
    <xf numFmtId="0" fontId="12" fillId="0" borderId="4" applyAlignment="1" applyProtection="1" pivotButton="0" quotePrefix="0" xfId="0">
      <alignment horizontal="center" vertical="center"/>
      <protection locked="1" hidden="1"/>
    </xf>
    <xf numFmtId="0" fontId="12" fillId="0" borderId="37" applyAlignment="1" applyProtection="1" pivotButton="0" quotePrefix="0" xfId="0">
      <alignment horizontal="center" vertical="center"/>
      <protection locked="1" hidden="1"/>
    </xf>
    <xf numFmtId="0" fontId="12" fillId="0" borderId="44" applyAlignment="1" applyProtection="1" pivotButton="0" quotePrefix="0" xfId="0">
      <alignment horizontal="center" vertical="center"/>
      <protection locked="1" hidden="1"/>
    </xf>
    <xf numFmtId="0" fontId="3" fillId="0" borderId="16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16" fillId="0" borderId="17" applyAlignment="1" pivotButton="0" quotePrefix="0" xfId="0">
      <alignment horizontal="center" vertical="center" wrapText="1"/>
    </xf>
    <xf numFmtId="0" fontId="16" fillId="0" borderId="20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2" fillId="3" borderId="38" applyAlignment="1" pivotButton="0" quotePrefix="0" xfId="0">
      <alignment horizontal="center" vertical="center"/>
    </xf>
    <xf numFmtId="0" fontId="12" fillId="3" borderId="33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3" borderId="5" applyAlignment="1" pivotButton="0" quotePrefix="0" xfId="0">
      <alignment horizontal="center" vertical="center"/>
    </xf>
    <xf numFmtId="0" fontId="12" fillId="3" borderId="6" applyAlignment="1" pivotButton="0" quotePrefix="0" xfId="0">
      <alignment horizontal="center" vertical="center"/>
    </xf>
    <xf numFmtId="0" fontId="12" fillId="3" borderId="7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2" fillId="3" borderId="1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3" borderId="2" applyAlignment="1" applyProtection="1" pivotButton="0" quotePrefix="0" xfId="0">
      <alignment horizontal="center" vertical="center"/>
      <protection locked="1" hidden="1"/>
    </xf>
    <xf numFmtId="0" fontId="12" fillId="3" borderId="33" applyAlignment="1" applyProtection="1" pivotButton="0" quotePrefix="0" xfId="0">
      <alignment horizontal="center" vertical="center"/>
      <protection locked="1" hidden="1"/>
    </xf>
    <xf numFmtId="0" fontId="12" fillId="3" borderId="3" applyAlignment="1" applyProtection="1" pivotButton="0" quotePrefix="0" xfId="0">
      <alignment horizontal="center" vertical="center"/>
      <protection locked="1" hidden="1"/>
    </xf>
    <xf numFmtId="0" fontId="12" fillId="0" borderId="2" applyAlignment="1" applyProtection="1" pivotButton="0" quotePrefix="0" xfId="0">
      <alignment horizontal="center" vertical="center"/>
      <protection locked="1" hidden="1"/>
    </xf>
    <xf numFmtId="0" fontId="12" fillId="0" borderId="33" applyAlignment="1" applyProtection="1" pivotButton="0" quotePrefix="0" xfId="0">
      <alignment horizontal="center" vertical="center"/>
      <protection locked="1" hidden="1"/>
    </xf>
    <xf numFmtId="0" fontId="12" fillId="0" borderId="3" applyAlignment="1" applyProtection="1" pivotButton="0" quotePrefix="0" xfId="0">
      <alignment horizontal="center" vertical="center"/>
      <protection locked="1" hidden="1"/>
    </xf>
    <xf numFmtId="0" fontId="16" fillId="6" borderId="17" applyAlignment="1" pivotButton="0" quotePrefix="0" xfId="0">
      <alignment horizontal="center" vertical="center" wrapText="1"/>
    </xf>
    <xf numFmtId="0" fontId="16" fillId="6" borderId="20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6" fillId="6" borderId="14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/>
    </xf>
    <xf numFmtId="0" fontId="12" fillId="6" borderId="3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0" fontId="12" fillId="6" borderId="2" applyAlignment="1" applyProtection="1" pivotButton="0" quotePrefix="0" xfId="0">
      <alignment horizontal="center" vertical="center"/>
      <protection locked="1" hidden="1"/>
    </xf>
    <xf numFmtId="0" fontId="12" fillId="6" borderId="33" applyAlignment="1" applyProtection="1" pivotButton="0" quotePrefix="0" xfId="0">
      <alignment horizontal="center" vertical="center"/>
      <protection locked="1" hidden="1"/>
    </xf>
    <xf numFmtId="0" fontId="12" fillId="6" borderId="3" applyAlignment="1" applyProtection="1" pivotButton="0" quotePrefix="0" xfId="0">
      <alignment horizontal="center" vertical="center"/>
      <protection locked="1" hidden="1"/>
    </xf>
    <xf numFmtId="0" fontId="3" fillId="9" borderId="13" applyAlignment="1" pivotButton="0" quotePrefix="0" xfId="0">
      <alignment horizontal="center" vertical="center"/>
    </xf>
    <xf numFmtId="0" fontId="16" fillId="9" borderId="17" applyAlignment="1" pivotButton="0" quotePrefix="0" xfId="0">
      <alignment horizontal="center" vertical="center" wrapText="1"/>
    </xf>
    <xf numFmtId="0" fontId="16" fillId="9" borderId="4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9" borderId="2" applyAlignment="1" pivotButton="0" quotePrefix="0" xfId="0">
      <alignment horizontal="center" vertical="center" wrapText="1"/>
    </xf>
    <xf numFmtId="0" fontId="3" fillId="3" borderId="38" applyAlignment="1" pivotButton="0" quotePrefix="0" xfId="0">
      <alignment horizontal="center" vertical="center"/>
    </xf>
    <xf numFmtId="0" fontId="12" fillId="0" borderId="5" applyAlignment="1" applyProtection="1" pivotButton="0" quotePrefix="0" xfId="0">
      <alignment horizontal="center" vertical="center"/>
      <protection locked="1" hidden="1"/>
    </xf>
    <xf numFmtId="0" fontId="12" fillId="0" borderId="6" applyAlignment="1" applyProtection="1" pivotButton="0" quotePrefix="0" xfId="0">
      <alignment horizontal="center" vertical="center"/>
      <protection locked="1" hidden="1"/>
    </xf>
    <xf numFmtId="0" fontId="12" fillId="0" borderId="7" applyAlignment="1" applyProtection="1" pivotButton="0" quotePrefix="0" xfId="0">
      <alignment horizontal="center" vertical="center"/>
      <protection locked="1" hidden="1"/>
    </xf>
    <xf numFmtId="0" fontId="12" fillId="0" borderId="8" applyAlignment="1" applyProtection="1" pivotButton="0" quotePrefix="0" xfId="0">
      <alignment horizontal="center" vertical="center"/>
      <protection locked="1" hidden="1"/>
    </xf>
    <xf numFmtId="0" fontId="12" fillId="0" borderId="9" applyAlignment="1" applyProtection="1" pivotButton="0" quotePrefix="0" xfId="0">
      <alignment horizontal="center" vertical="center"/>
      <protection locked="1" hidden="1"/>
    </xf>
    <xf numFmtId="0" fontId="12" fillId="0" borderId="10" applyAlignment="1" applyProtection="1" pivotButton="0" quotePrefix="0" xfId="0">
      <alignment horizontal="center" vertical="center"/>
      <protection locked="1" hidden="1"/>
    </xf>
    <xf numFmtId="0" fontId="12" fillId="6" borderId="47" applyAlignment="1" applyProtection="1" pivotButton="0" quotePrefix="0" xfId="0">
      <alignment horizontal="center" vertical="center"/>
      <protection locked="1" hidden="1"/>
    </xf>
    <xf numFmtId="0" fontId="12" fillId="6" borderId="18" applyAlignment="1" applyProtection="1" pivotButton="0" quotePrefix="0" xfId="0">
      <alignment horizontal="center" vertical="center"/>
      <protection locked="1" hidden="1"/>
    </xf>
    <xf numFmtId="0" fontId="12" fillId="6" borderId="52" applyAlignment="1" applyProtection="1" pivotButton="0" quotePrefix="0" xfId="0">
      <alignment horizontal="center" vertical="center"/>
      <protection locked="1" hidden="1"/>
    </xf>
    <xf numFmtId="0" fontId="12" fillId="6" borderId="48" applyAlignment="1" applyProtection="1" pivotButton="0" quotePrefix="0" xfId="0">
      <alignment horizontal="center" vertical="center"/>
      <protection locked="1" hidden="1"/>
    </xf>
    <xf numFmtId="0" fontId="12" fillId="6" borderId="49" applyAlignment="1" applyProtection="1" pivotButton="0" quotePrefix="0" xfId="0">
      <alignment horizontal="center" vertical="center"/>
      <protection locked="1" hidden="1"/>
    </xf>
    <xf numFmtId="0" fontId="12" fillId="6" borderId="50" applyAlignment="1" applyProtection="1" pivotButton="0" quotePrefix="0" xfId="0">
      <alignment horizontal="center" vertical="center"/>
      <protection locked="1" hidden="1"/>
    </xf>
    <xf numFmtId="0" fontId="12" fillId="6" borderId="4" applyAlignment="1" applyProtection="1" pivotButton="0" quotePrefix="0" xfId="0">
      <alignment horizontal="center" vertical="center"/>
      <protection locked="1" hidden="1"/>
    </xf>
    <xf numFmtId="0" fontId="12" fillId="6" borderId="37" applyAlignment="1" applyProtection="1" pivotButton="0" quotePrefix="0" xfId="0">
      <alignment horizontal="center" vertical="center"/>
      <protection locked="1" hidden="1"/>
    </xf>
    <xf numFmtId="0" fontId="12" fillId="6" borderId="44" applyAlignment="1" applyProtection="1" pivotButton="0" quotePrefix="0" xfId="0">
      <alignment horizontal="center" vertical="center"/>
      <protection locked="1" hidden="1"/>
    </xf>
    <xf numFmtId="0" fontId="9" fillId="8" borderId="45" applyAlignment="1" pivotButton="0" quotePrefix="0" xfId="0">
      <alignment horizontal="center" vertical="center" wrapText="1"/>
    </xf>
    <xf numFmtId="0" fontId="9" fillId="8" borderId="46" applyAlignment="1" pivotButton="0" quotePrefix="0" xfId="0">
      <alignment horizontal="center" vertical="center" wrapText="1"/>
    </xf>
    <xf numFmtId="166" fontId="12" fillId="6" borderId="12" applyAlignment="1" pivotButton="0" quotePrefix="0" xfId="0">
      <alignment horizontal="center" vertical="center"/>
    </xf>
    <xf numFmtId="166" fontId="12" fillId="6" borderId="29" applyAlignment="1" pivotButton="0" quotePrefix="0" xfId="0">
      <alignment horizontal="center" vertical="center"/>
    </xf>
    <xf numFmtId="166" fontId="12" fillId="6" borderId="30" applyAlignment="1" pivotButton="0" quotePrefix="0" xfId="0">
      <alignment horizontal="center" vertical="center"/>
    </xf>
    <xf numFmtId="166" fontId="12" fillId="6" borderId="36" applyAlignment="1" pivotButton="0" quotePrefix="0" xfId="0">
      <alignment horizontal="center" vertical="center"/>
    </xf>
    <xf numFmtId="166" fontId="12" fillId="3" borderId="28" applyAlignment="1" pivotButton="0" quotePrefix="0" xfId="0">
      <alignment horizontal="center" vertical="center"/>
    </xf>
    <xf numFmtId="166" fontId="12" fillId="3" borderId="16" applyAlignment="1" pivotButton="0" quotePrefix="0" xfId="0">
      <alignment horizontal="center" vertical="center"/>
    </xf>
    <xf numFmtId="166" fontId="12" fillId="3" borderId="29" applyAlignment="1" pivotButton="0" quotePrefix="0" xfId="0">
      <alignment horizontal="center" vertical="center"/>
    </xf>
    <xf numFmtId="166" fontId="12" fillId="3" borderId="17" applyAlignment="1" pivotButton="0" quotePrefix="0" xfId="0">
      <alignment horizontal="center" vertical="center"/>
    </xf>
    <xf numFmtId="166" fontId="12" fillId="6" borderId="11" applyAlignment="1" pivotButton="0" quotePrefix="0" xfId="0">
      <alignment horizontal="center" vertical="center"/>
    </xf>
    <xf numFmtId="166" fontId="12" fillId="6" borderId="28" applyAlignment="1" pivotButton="0" quotePrefix="0" xfId="0">
      <alignment horizontal="center" vertical="center"/>
    </xf>
    <xf numFmtId="166" fontId="12" fillId="6" borderId="17" applyAlignment="1" pivotButton="0" quotePrefix="0" xfId="0">
      <alignment horizontal="center" vertical="center"/>
    </xf>
    <xf numFmtId="166" fontId="12" fillId="6" borderId="16" applyAlignment="1" pivotButton="0" quotePrefix="0" xfId="0">
      <alignment horizontal="center" vertical="center"/>
    </xf>
    <xf numFmtId="0" fontId="13" fillId="0" borderId="1" applyAlignment="1" applyProtection="1" pivotButton="0" quotePrefix="0" xfId="0">
      <alignment horizontal="center" vertical="center"/>
      <protection locked="0" hidden="0"/>
    </xf>
    <xf numFmtId="0" fontId="11" fillId="7" borderId="1" applyAlignment="1" pivotButton="0" quotePrefix="0" xfId="0">
      <alignment horizontal="center" vertical="center"/>
    </xf>
    <xf numFmtId="0" fontId="12" fillId="6" borderId="29" applyAlignment="1" pivotButton="0" quotePrefix="0" xfId="0">
      <alignment horizontal="center" vertical="center"/>
    </xf>
    <xf numFmtId="0" fontId="12" fillId="6" borderId="5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166" fontId="12" fillId="6" borderId="1" applyAlignment="1" pivotButton="0" quotePrefix="0" xfId="0">
      <alignment horizontal="center" vertical="center"/>
    </xf>
    <xf numFmtId="0" fontId="13" fillId="0" borderId="29" applyAlignment="1" applyProtection="1" pivotButton="0" quotePrefix="0" xfId="0">
      <alignment horizontal="center" vertical="center"/>
      <protection locked="0" hidden="0"/>
    </xf>
    <xf numFmtId="0" fontId="13" fillId="0" borderId="17" applyAlignment="1" applyProtection="1" pivotButton="0" quotePrefix="0" xfId="0">
      <alignment horizontal="center" vertical="center"/>
      <protection locked="0" hidden="0"/>
    </xf>
    <xf numFmtId="0" fontId="12" fillId="9" borderId="38" applyAlignment="1" pivotButton="0" quotePrefix="0" xfId="0">
      <alignment horizontal="center" vertical="center"/>
    </xf>
    <xf numFmtId="0" fontId="12" fillId="9" borderId="33" applyAlignment="1" pivotButton="0" quotePrefix="0" xfId="0">
      <alignment horizontal="center" vertical="center"/>
    </xf>
    <xf numFmtId="0" fontId="12" fillId="9" borderId="3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applyProtection="1" pivotButton="0" quotePrefix="0" xfId="0">
      <alignment horizontal="center" vertical="center"/>
      <protection locked="1" hidden="1"/>
    </xf>
    <xf numFmtId="0" fontId="12" fillId="9" borderId="33" applyAlignment="1" applyProtection="1" pivotButton="0" quotePrefix="0" xfId="0">
      <alignment horizontal="center" vertical="center"/>
      <protection locked="1" hidden="1"/>
    </xf>
    <xf numFmtId="0" fontId="12" fillId="9" borderId="3" applyAlignment="1" applyProtection="1" pivotButton="0" quotePrefix="0" xfId="0">
      <alignment horizontal="center" vertical="center"/>
      <protection locked="1" hidden="1"/>
    </xf>
    <xf numFmtId="166" fontId="12" fillId="9" borderId="28" applyAlignment="1" pivotButton="0" quotePrefix="0" xfId="0">
      <alignment horizontal="center" vertical="center"/>
    </xf>
    <xf numFmtId="166" fontId="12" fillId="9" borderId="44" applyAlignment="1" pivotButton="0" quotePrefix="0" xfId="0">
      <alignment horizontal="center" vertical="center"/>
    </xf>
    <xf numFmtId="166" fontId="12" fillId="9" borderId="29" applyAlignment="1" pivotButton="0" quotePrefix="0" xfId="0">
      <alignment horizontal="center" vertical="center"/>
    </xf>
    <xf numFmtId="166" fontId="12" fillId="9" borderId="17" applyAlignment="1" pivotButton="0" quotePrefix="0" xfId="0">
      <alignment horizontal="center" vertical="center"/>
    </xf>
    <xf numFmtId="0" fontId="12" fillId="9" borderId="5" applyAlignment="1" applyProtection="1" pivotButton="0" quotePrefix="0" xfId="0">
      <alignment horizontal="center" vertical="center"/>
      <protection locked="1" hidden="1"/>
    </xf>
    <xf numFmtId="0" fontId="12" fillId="9" borderId="6" applyAlignment="1" applyProtection="1" pivotButton="0" quotePrefix="0" xfId="0">
      <alignment horizontal="center" vertical="center"/>
      <protection locked="1" hidden="1"/>
    </xf>
    <xf numFmtId="0" fontId="12" fillId="9" borderId="7" applyAlignment="1" applyProtection="1" pivotButton="0" quotePrefix="0" xfId="0">
      <alignment horizontal="center" vertical="center"/>
      <protection locked="1" hidden="1"/>
    </xf>
    <xf numFmtId="0" fontId="12" fillId="9" borderId="47" applyAlignment="1" applyProtection="1" pivotButton="0" quotePrefix="0" xfId="0">
      <alignment horizontal="center" vertical="center"/>
      <protection locked="1" hidden="1"/>
    </xf>
    <xf numFmtId="0" fontId="12" fillId="9" borderId="18" applyAlignment="1" applyProtection="1" pivotButton="0" quotePrefix="0" xfId="0">
      <alignment horizontal="center" vertical="center"/>
      <protection locked="1" hidden="1"/>
    </xf>
    <xf numFmtId="0" fontId="12" fillId="9" borderId="19" applyAlignment="1" applyProtection="1" pivotButton="0" quotePrefix="0" xfId="0">
      <alignment horizontal="center" vertical="center"/>
      <protection locked="1" hidden="1"/>
    </xf>
    <xf numFmtId="0" fontId="19" fillId="0" borderId="53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applyProtection="1" pivotButton="0" quotePrefix="0" xfId="0">
      <alignment horizontal="center" vertical="center"/>
      <protection locked="0" hidden="0"/>
    </xf>
    <xf numFmtId="0" fontId="17" fillId="0" borderId="14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58" applyAlignment="1" pivotButton="0" quotePrefix="0" xfId="0">
      <alignment horizontal="center" vertical="center"/>
    </xf>
    <xf numFmtId="0" fontId="17" fillId="0" borderId="54" applyAlignment="1" pivotButton="0" quotePrefix="0" xfId="0">
      <alignment horizontal="center" vertical="center"/>
    </xf>
    <xf numFmtId="0" fontId="17" fillId="0" borderId="31" applyAlignment="1" pivotButton="0" quotePrefix="0" xfId="0">
      <alignment horizontal="center" vertical="center"/>
    </xf>
    <xf numFmtId="0" fontId="17" fillId="0" borderId="55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7" borderId="14" applyAlignment="1" pivotButton="0" quotePrefix="0" xfId="0">
      <alignment horizontal="center" vertical="center"/>
    </xf>
    <xf numFmtId="0" fontId="17" fillId="10" borderId="12" applyAlignment="1" pivotButton="0" quotePrefix="0" xfId="0">
      <alignment horizontal="center" vertical="center"/>
    </xf>
    <xf numFmtId="0" fontId="17" fillId="10" borderId="6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0" fontId="0" fillId="0" borderId="53" pivotButton="0" quotePrefix="0" xfId="0"/>
    <xf numFmtId="0" fontId="0" fillId="0" borderId="46" pivotButton="0" quotePrefix="0" xfId="0"/>
    <xf numFmtId="0" fontId="0" fillId="0" borderId="24" pivotButton="0" quotePrefix="0" xfId="0"/>
    <xf numFmtId="0" fontId="0" fillId="0" borderId="64" pivotButton="0" quotePrefix="0" xfId="0"/>
    <xf numFmtId="0" fontId="0" fillId="0" borderId="37" pivotButton="0" quotePrefix="0" xfId="0"/>
    <xf numFmtId="0" fontId="0" fillId="0" borderId="62" pivotButton="0" quotePrefix="0" xfId="0"/>
    <xf numFmtId="0" fontId="12" fillId="0" borderId="12" applyAlignment="1" applyProtection="1" pivotButton="0" quotePrefix="0" xfId="0">
      <alignment horizontal="center" vertical="center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166" fontId="12" fillId="6" borderId="11" applyAlignment="1" pivotButton="0" quotePrefix="0" xfId="0">
      <alignment horizontal="center" vertical="center"/>
    </xf>
    <xf numFmtId="166" fontId="12" fillId="6" borderId="12" applyAlignment="1" pivotButton="0" quotePrefix="0" xfId="0">
      <alignment horizontal="center" vertical="center"/>
    </xf>
    <xf numFmtId="166" fontId="12" fillId="6" borderId="30" applyAlignment="1" pivotButton="0" quotePrefix="0" xfId="0">
      <alignment horizontal="center" vertical="center"/>
    </xf>
    <xf numFmtId="166" fontId="12" fillId="6" borderId="17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4" pivotButton="0" quotePrefix="0" xfId="0"/>
    <xf numFmtId="0" fontId="0" fillId="0" borderId="44" pivotButton="0" quotePrefix="0" xfId="0"/>
    <xf numFmtId="164" fontId="12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39" pivotButton="0" quotePrefix="0" xfId="0"/>
    <xf numFmtId="0" fontId="0" fillId="0" borderId="17" applyProtection="1" pivotButton="0" quotePrefix="0" xfId="0">
      <protection locked="0" hidden="0"/>
    </xf>
    <xf numFmtId="0" fontId="0" fillId="0" borderId="33" pivotButton="0" quotePrefix="0" xfId="0"/>
    <xf numFmtId="0" fontId="0" fillId="0" borderId="3" pivotButton="0" quotePrefix="0" xfId="0"/>
    <xf numFmtId="0" fontId="12" fillId="3" borderId="73" applyAlignment="1" pivotButton="0" quotePrefix="0" xfId="0">
      <alignment horizontal="center" vertical="center"/>
    </xf>
    <xf numFmtId="0" fontId="0" fillId="0" borderId="63" pivotButton="0" quotePrefix="0" xfId="0"/>
    <xf numFmtId="0" fontId="12" fillId="3" borderId="17" applyAlignment="1" applyProtection="1" pivotButton="0" quotePrefix="0" xfId="0">
      <alignment horizontal="center" vertical="center"/>
      <protection locked="1" hidden="1"/>
    </xf>
    <xf numFmtId="0" fontId="0" fillId="0" borderId="37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166" fontId="12" fillId="3" borderId="13" applyAlignment="1" pivotButton="0" quotePrefix="0" xfId="0">
      <alignment horizontal="center" vertical="center"/>
    </xf>
    <xf numFmtId="166" fontId="12" fillId="3" borderId="1" applyAlignment="1" pivotButton="0" quotePrefix="0" xfId="0">
      <alignment horizontal="center" vertical="center"/>
    </xf>
    <xf numFmtId="0" fontId="15" fillId="3" borderId="68" applyAlignment="1" pivotButton="0" quotePrefix="0" xfId="0">
      <alignment horizontal="center" vertical="center"/>
    </xf>
    <xf numFmtId="0" fontId="0" fillId="0" borderId="41" pivotButton="0" quotePrefix="0" xfId="0"/>
    <xf numFmtId="0" fontId="12" fillId="0" borderId="13" applyAlignment="1" pivotButton="0" quotePrefix="0" xfId="0">
      <alignment horizontal="center" vertical="center"/>
    </xf>
    <xf numFmtId="0" fontId="12" fillId="0" borderId="73" applyAlignment="1" pivotButton="0" quotePrefix="0" xfId="0">
      <alignment horizontal="center" vertical="center"/>
    </xf>
    <xf numFmtId="0" fontId="12" fillId="0" borderId="17" applyAlignment="1" applyProtection="1" pivotButton="0" quotePrefix="0" xfId="0">
      <alignment horizontal="center" vertical="center"/>
      <protection locked="1" hidden="1"/>
    </xf>
    <xf numFmtId="166" fontId="12" fillId="6" borderId="13" applyAlignment="1" pivotButton="0" quotePrefix="0" xfId="0">
      <alignment horizontal="center" vertical="center"/>
    </xf>
    <xf numFmtId="166" fontId="12" fillId="6" borderId="1" applyAlignment="1" pivotButton="0" quotePrefix="0" xfId="0">
      <alignment horizontal="center" vertical="center"/>
    </xf>
    <xf numFmtId="0" fontId="12" fillId="3" borderId="13" applyAlignment="1" pivotButton="0" quotePrefix="0" xfId="0">
      <alignment horizontal="center" vertical="center"/>
    </xf>
    <xf numFmtId="0" fontId="15" fillId="9" borderId="68" applyAlignment="1" pivotButton="0" quotePrefix="0" xfId="0">
      <alignment horizontal="center" vertical="center"/>
    </xf>
    <xf numFmtId="0" fontId="12" fillId="0" borderId="1" applyAlignment="1" applyProtection="1" pivotButton="0" quotePrefix="0" xfId="0">
      <alignment horizontal="center" vertical="center"/>
      <protection locked="1" hidden="1"/>
    </xf>
    <xf numFmtId="0" fontId="0" fillId="0" borderId="33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12" fillId="3" borderId="1" applyAlignment="1" applyProtection="1" pivotButton="0" quotePrefix="0" xfId="0">
      <alignment horizontal="center" vertical="center"/>
      <protection locked="1" hidden="1"/>
    </xf>
    <xf numFmtId="0" fontId="15" fillId="2" borderId="68" applyAlignment="1" pivotButton="0" quotePrefix="0" xfId="0">
      <alignment horizontal="center" vertical="center"/>
    </xf>
    <xf numFmtId="0" fontId="0" fillId="0" borderId="76" pivotButton="0" quotePrefix="0" xfId="0"/>
    <xf numFmtId="0" fontId="12" fillId="0" borderId="73" applyAlignment="1" applyProtection="1" pivotButton="0" quotePrefix="0" xfId="0">
      <alignment horizontal="center" vertical="center"/>
      <protection locked="1" hidden="1"/>
    </xf>
    <xf numFmtId="0" fontId="0" fillId="0" borderId="63" applyProtection="1" pivotButton="0" quotePrefix="0" xfId="0">
      <protection locked="1" hidden="1"/>
    </xf>
    <xf numFmtId="0" fontId="0" fillId="0" borderId="64" applyProtection="1" pivotButton="0" quotePrefix="0" xfId="0">
      <protection locked="1" hidden="1"/>
    </xf>
    <xf numFmtId="0" fontId="12" fillId="6" borderId="17" applyAlignment="1" applyProtection="1" pivotButton="0" quotePrefix="0" xfId="0">
      <alignment horizontal="center" vertical="center"/>
      <protection locked="1" hidden="1"/>
    </xf>
    <xf numFmtId="0" fontId="0" fillId="0" borderId="4" applyProtection="1" pivotButton="0" quotePrefix="0" xfId="0">
      <protection locked="1" hidden="1"/>
    </xf>
    <xf numFmtId="0" fontId="12" fillId="9" borderId="13" applyAlignment="1" pivotButton="0" quotePrefix="0" xfId="0">
      <alignment horizontal="center" vertical="center"/>
    </xf>
    <xf numFmtId="0" fontId="12" fillId="9" borderId="1" applyAlignment="1" applyProtection="1" pivotButton="0" quotePrefix="0" xfId="0">
      <alignment horizontal="center" vertical="center"/>
      <protection locked="1" hidden="1"/>
    </xf>
    <xf numFmtId="0" fontId="12" fillId="9" borderId="65" applyAlignment="1" applyProtection="1" pivotButton="0" quotePrefix="0" xfId="0">
      <alignment horizontal="center" vertical="center"/>
      <protection locked="1" hidden="1"/>
    </xf>
    <xf numFmtId="166" fontId="12" fillId="9" borderId="13" applyAlignment="1" pivotButton="0" quotePrefix="0" xfId="0">
      <alignment horizontal="center" vertical="center"/>
    </xf>
    <xf numFmtId="166" fontId="12" fillId="9" borderId="1" applyAlignment="1" pivotButton="0" quotePrefix="0" xfId="0">
      <alignment horizontal="center" vertical="center"/>
    </xf>
    <xf numFmtId="0" fontId="0" fillId="0" borderId="66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62" applyProtection="1" pivotButton="0" quotePrefix="0" xfId="0">
      <protection locked="1" hidden="1"/>
    </xf>
    <xf numFmtId="0" fontId="12" fillId="6" borderId="13" applyAlignment="1" pivotButton="0" quotePrefix="0" xfId="0">
      <alignment horizontal="center" vertical="center"/>
    </xf>
    <xf numFmtId="0" fontId="12" fillId="6" borderId="1" applyAlignment="1" applyProtection="1" pivotButton="0" quotePrefix="0" xfId="0">
      <alignment horizontal="center" vertical="center"/>
      <protection locked="1" hidden="1"/>
    </xf>
    <xf numFmtId="0" fontId="12" fillId="6" borderId="74" applyAlignment="1" applyProtection="1" pivotButton="0" quotePrefix="0" xfId="0">
      <alignment horizontal="center" vertical="center"/>
      <protection locked="1" hidden="1"/>
    </xf>
    <xf numFmtId="0" fontId="0" fillId="0" borderId="39" applyProtection="1" pivotButton="0" quotePrefix="0" xfId="0">
      <protection locked="1" hidden="1"/>
    </xf>
    <xf numFmtId="0" fontId="15" fillId="3" borderId="77" applyAlignment="1" pivotButton="0" quotePrefix="0" xfId="0">
      <alignment horizontal="center" vertical="center"/>
    </xf>
    <xf numFmtId="164" fontId="12" fillId="6" borderId="15" applyAlignment="1" applyProtection="1" pivotButton="0" quotePrefix="0" xfId="0">
      <alignment horizontal="center" vertical="center"/>
      <protection locked="0" hidden="0"/>
    </xf>
    <xf numFmtId="0" fontId="0" fillId="0" borderId="75" applyProtection="1" pivotButton="0" quotePrefix="0" xfId="0">
      <protection locked="1" hidden="1"/>
    </xf>
    <xf numFmtId="0" fontId="0" fillId="0" borderId="53" applyProtection="1" pivotButton="0" quotePrefix="0" xfId="0">
      <protection locked="1" hidden="1"/>
    </xf>
    <xf numFmtId="0" fontId="0" fillId="0" borderId="42" applyProtection="1" pivotButton="0" quotePrefix="0" xfId="0">
      <protection locked="1" hidden="1"/>
    </xf>
    <xf numFmtId="0" fontId="0" fillId="0" borderId="51" pivotButton="0" quotePrefix="0" xfId="0"/>
    <xf numFmtId="0" fontId="0" fillId="0" borderId="42" pivotButton="0" quotePrefix="0" xfId="0"/>
    <xf numFmtId="0" fontId="0" fillId="0" borderId="0" applyProtection="1" pivotButton="0" quotePrefix="0" xfId="0">
      <protection locked="0" hidden="0"/>
    </xf>
    <xf numFmtId="0" fontId="17" fillId="0" borderId="78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55" pivotButton="0" quotePrefix="0" xfId="0"/>
    <xf numFmtId="165" fontId="17" fillId="0" borderId="13" applyAlignment="1" pivotButton="0" quotePrefix="0" xfId="0">
      <alignment horizontal="center" vertical="center"/>
    </xf>
    <xf numFmtId="0" fontId="26" fillId="0" borderId="4" applyAlignment="1" applyProtection="1" pivotButton="0" quotePrefix="0" xfId="0">
      <alignment horizontal="center" vertical="center" shrinkToFit="1"/>
      <protection locked="0" hidden="0"/>
    </xf>
    <xf numFmtId="0" fontId="26" fillId="0" borderId="37" applyAlignment="1" applyProtection="1" pivotButton="0" quotePrefix="0" xfId="0">
      <alignment horizontal="center" vertical="center" shrinkToFit="1"/>
      <protection locked="0" hidden="0"/>
    </xf>
    <xf numFmtId="0" fontId="26" fillId="0" borderId="14" applyAlignment="1" applyProtection="1" pivotButton="0" quotePrefix="0" xfId="0">
      <alignment horizontal="center" vertical="center" shrinkToFit="1"/>
      <protection locked="0" hidden="0"/>
    </xf>
    <xf numFmtId="0" fontId="26" fillId="6" borderId="2" applyAlignment="1" applyProtection="1" pivotButton="0" quotePrefix="0" xfId="0">
      <alignment horizontal="center" vertical="center" shrinkToFit="1"/>
      <protection locked="0" hidden="0"/>
    </xf>
    <xf numFmtId="0" fontId="26" fillId="6" borderId="33" applyAlignment="1" applyProtection="1" pivotButton="0" quotePrefix="0" xfId="0">
      <alignment horizontal="center" vertical="center" shrinkToFit="1"/>
      <protection locked="0" hidden="0"/>
    </xf>
    <xf numFmtId="0" fontId="26" fillId="11" borderId="2" applyAlignment="1" applyProtection="1" pivotButton="0" quotePrefix="0" xfId="0">
      <alignment horizontal="center" vertical="center" shrinkToFit="1"/>
      <protection locked="0" hidden="0"/>
    </xf>
    <xf numFmtId="0" fontId="26" fillId="11" borderId="33" applyAlignment="1" applyProtection="1" pivotButton="0" quotePrefix="0" xfId="0">
      <alignment horizontal="center" vertical="center" shrinkToFit="1"/>
      <protection locked="0" hidden="0"/>
    </xf>
    <xf numFmtId="0" fontId="26" fillId="11" borderId="14" applyAlignment="1" applyProtection="1" pivotButton="0" quotePrefix="0" xfId="0">
      <alignment horizontal="center" vertical="center" shrinkToFit="1"/>
      <protection locked="0" hidden="0"/>
    </xf>
    <xf numFmtId="165" fontId="17" fillId="0" borderId="3" applyAlignment="1" pivotButton="0" quotePrefix="0" xfId="0">
      <alignment horizontal="center" vertical="center"/>
    </xf>
    <xf numFmtId="0" fontId="26" fillId="0" borderId="2" applyAlignment="1" applyProtection="1" pivotButton="0" quotePrefix="0" xfId="0">
      <alignment horizontal="center" vertical="center" shrinkToFit="1"/>
      <protection locked="0" hidden="0"/>
    </xf>
    <xf numFmtId="0" fontId="26" fillId="0" borderId="33" applyAlignment="1" applyProtection="1" pivotButton="0" quotePrefix="0" xfId="0">
      <alignment horizontal="center" vertical="center" shrinkToFit="1"/>
      <protection locked="0" hidden="0"/>
    </xf>
    <xf numFmtId="0" fontId="26" fillId="7" borderId="2" applyAlignment="1" applyProtection="1" pivotButton="0" quotePrefix="0" xfId="0">
      <alignment horizontal="center" vertical="center" shrinkToFit="1"/>
      <protection locked="0" hidden="0"/>
    </xf>
    <xf numFmtId="0" fontId="26" fillId="7" borderId="33" applyAlignment="1" applyProtection="1" pivotButton="0" quotePrefix="0" xfId="0">
      <alignment horizontal="center" vertical="center" shrinkToFit="1"/>
      <protection locked="0" hidden="0"/>
    </xf>
    <xf numFmtId="0" fontId="26" fillId="7" borderId="14" applyAlignment="1" applyProtection="1" pivotButton="0" quotePrefix="0" xfId="0">
      <alignment horizontal="center" vertical="center" shrinkToFit="1"/>
      <protection locked="0" hidden="0"/>
    </xf>
    <xf numFmtId="165" fontId="17" fillId="0" borderId="61" applyAlignment="1" pivotButton="0" quotePrefix="0" xfId="0">
      <alignment horizontal="center" vertical="center"/>
    </xf>
    <xf numFmtId="0" fontId="26" fillId="0" borderId="27" applyAlignment="1" applyProtection="1" pivotButton="0" quotePrefix="0" xfId="0">
      <alignment horizontal="center" vertical="center" shrinkToFit="1"/>
      <protection locked="0" hidden="0"/>
    </xf>
    <xf numFmtId="0" fontId="26" fillId="0" borderId="57" applyAlignment="1" applyProtection="1" pivotButton="0" quotePrefix="0" xfId="0">
      <alignment horizontal="center" vertical="center" shrinkToFit="1"/>
      <protection locked="0" hidden="0"/>
    </xf>
    <xf numFmtId="0" fontId="26" fillId="0" borderId="58" applyAlignment="1" applyProtection="1" pivotButton="0" quotePrefix="0" xfId="0">
      <alignment horizontal="center" vertical="center" shrinkToFit="1"/>
      <protection locked="0" hidden="0"/>
    </xf>
    <xf numFmtId="0" fontId="26" fillId="0" borderId="0" applyAlignment="1" applyProtection="1" pivotButton="0" quotePrefix="0" xfId="0">
      <alignment horizontal="center" vertical="center" shrinkToFit="1"/>
      <protection locked="0" hidden="0"/>
    </xf>
    <xf numFmtId="0" fontId="26" fillId="0" borderId="0" applyAlignment="1" pivotButton="0" quotePrefix="0" xfId="0">
      <alignment horizontal="center" vertical="center" shrinkToFit="1"/>
    </xf>
    <xf numFmtId="0" fontId="0" fillId="0" borderId="32" pivotButton="0" quotePrefix="0" xfId="0"/>
    <xf numFmtId="165" fontId="17" fillId="0" borderId="56" applyAlignment="1" pivotButton="0" quotePrefix="0" xfId="0">
      <alignment horizontal="center" vertical="center"/>
    </xf>
    <xf numFmtId="0" fontId="26" fillId="11" borderId="27" applyAlignment="1" applyProtection="1" pivotButton="0" quotePrefix="0" xfId="0">
      <alignment horizontal="center" vertical="center" shrinkToFit="1"/>
      <protection locked="0" hidden="0"/>
    </xf>
    <xf numFmtId="0" fontId="26" fillId="11" borderId="57" applyAlignment="1" applyProtection="1" pivotButton="0" quotePrefix="0" xfId="0">
      <alignment horizontal="center" vertical="center" shrinkToFit="1"/>
      <protection locked="0" hidden="0"/>
    </xf>
    <xf numFmtId="0" fontId="26" fillId="11" borderId="58" applyAlignment="1" applyProtection="1" pivotButton="0" quotePrefix="0" xfId="0">
      <alignment horizontal="center" vertical="center" shrinkToFit="1"/>
      <protection locked="0" hidden="0"/>
    </xf>
    <xf numFmtId="0" fontId="0" fillId="0" borderId="57" pivotButton="0" quotePrefix="0" xfId="0"/>
    <xf numFmtId="0" fontId="0" fillId="0" borderId="61" pivotButton="0" quotePrefix="0" xfId="0"/>
    <xf numFmtId="165" fontId="17" fillId="0" borderId="0" applyAlignment="1" pivotButton="0" quotePrefix="0" xfId="0">
      <alignment horizontal="center" vertical="center"/>
    </xf>
    <xf numFmtId="165" fontId="17" fillId="0" borderId="1" applyAlignment="1" pivotButton="0" quotePrefix="0" xfId="0">
      <alignment horizontal="center" vertical="center"/>
    </xf>
    <xf numFmtId="0" fontId="26" fillId="0" borderId="1" applyAlignment="1" applyProtection="1" pivotButton="0" quotePrefix="0" xfId="0">
      <alignment horizontal="center" vertical="center" shrinkToFit="1"/>
      <protection locked="0" hidden="0"/>
    </xf>
    <xf numFmtId="0" fontId="26" fillId="0" borderId="44" applyAlignment="1" applyProtection="1" pivotButton="0" quotePrefix="0" xfId="0">
      <alignment horizontal="center" vertical="center" shrinkToFit="1"/>
      <protection locked="0" hidden="0"/>
    </xf>
    <xf numFmtId="0" fontId="26" fillId="0" borderId="1" applyAlignment="1" pivotButton="0" quotePrefix="0" xfId="0">
      <alignment horizontal="center" vertical="center" shrinkToFit="1"/>
    </xf>
    <xf numFmtId="0" fontId="26" fillId="0" borderId="3" applyAlignment="1" applyProtection="1" pivotButton="0" quotePrefix="0" xfId="0">
      <alignment horizontal="center" vertical="center" shrinkToFit="1"/>
      <protection locked="0" hidden="0"/>
    </xf>
    <xf numFmtId="165" fontId="17" fillId="3" borderId="1" applyAlignment="1" pivotButton="0" quotePrefix="0" xfId="0">
      <alignment horizontal="center" vertical="center"/>
    </xf>
  </cellXfs>
  <cellStyles count="1">
    <cellStyle name="標準" xfId="0" builtinId="0"/>
  </cellStyles>
  <dxfs count="12">
    <dxf>
      <font>
        <color rgb="FFFF0000"/>
      </font>
    </dxf>
    <dxf>
      <font>
        <color rgb="FFFF0000"/>
      </font>
    </dxf>
    <dxf>
      <font>
        <color theme="8" tint="-0.249946592608417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ill>
        <patternFill>
          <fgColor rgb="FFFFFF00"/>
          <bgColor rgb="FFFFFF0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FFFF00"/>
          <bgColor rgb="FFFFFF00"/>
        </patternFill>
      </fill>
    </dxf>
    <dxf>
      <font>
        <b val="1"/>
        <i val="1"/>
        <color rgb="FFFF0000"/>
      </font>
      <fill>
        <patternFill>
          <bgColor theme="9" tint="0.7999816888943144"/>
        </patternFill>
      </fill>
    </dxf>
    <dxf>
      <font>
        <b val="1"/>
        <i val="1"/>
        <color theme="3"/>
      </font>
      <fill>
        <patternFill>
          <bgColor theme="8" tint="0.799981688894314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作成者</author>
  </authors>
  <commentList>
    <comment ref="E6" authorId="0" shapeId="0">
      <text>
        <t xml:space="preserve">左下へ入力する！
※それ以外入力不可
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egoe＋メイリオ">
      <a:majorFont>
        <a:latin typeface="Segoe"/>
        <a:ea typeface="メイリオ"/>
        <a:cs typeface=""/>
      </a:majorFont>
      <a:minorFont>
        <a:latin typeface="Segoe"/>
        <a:ea typeface="メイリオ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B2:BA27"/>
  <sheetViews>
    <sheetView showGridLines="0" tabSelected="1" showWhiteSpace="0" zoomScale="48" zoomScaleNormal="55" zoomScaleSheetLayoutView="40" zoomScalePageLayoutView="33" workbookViewId="0">
      <selection activeCell="J18" sqref="H18:J18"/>
    </sheetView>
  </sheetViews>
  <sheetFormatPr baseColWidth="8" defaultColWidth="0" defaultRowHeight="0" customHeight="1" zeroHeight="1"/>
  <cols>
    <col width="2.5546875" customWidth="1" style="1" min="1" max="1"/>
    <col width="4.33203125" customWidth="1" style="1" min="2" max="2"/>
    <col width="10" customWidth="1" style="1" min="3" max="3"/>
    <col width="9.77734375" customWidth="1" style="1" min="4" max="4"/>
    <col width="5.44140625" customWidth="1" style="1" min="5" max="28"/>
    <col hidden="1" width="4.21875" customWidth="1" style="1" min="29" max="37"/>
    <col width="4.6640625" customWidth="1" style="1" min="38" max="40"/>
    <col width="4.5546875" customWidth="1" style="1" min="41" max="44"/>
    <col width="5.44140625" customWidth="1" style="1" min="45" max="45"/>
    <col width="1.109375" customWidth="1" style="1" min="46" max="46"/>
    <col width="4.88671875" customWidth="1" style="1" min="47" max="47"/>
    <col width="5.44140625" bestFit="1" customWidth="1" style="1" min="48" max="48"/>
    <col width="6.5546875" bestFit="1" customWidth="1" style="1" min="49" max="49"/>
    <col width="19.88671875" customWidth="1" style="1" min="50" max="50"/>
    <col width="4.6640625" customWidth="1" style="1" min="51" max="51"/>
    <col width="3.6640625" customWidth="1" style="1" min="52" max="52"/>
    <col width="22.6640625" customWidth="1" style="1" min="53" max="53"/>
    <col width="4.6640625" customWidth="1" style="1" min="54" max="54"/>
    <col hidden="1" style="1" min="55" max="60"/>
    <col hidden="1" width="4.6640625" customWidth="1" style="1" min="61" max="16384"/>
  </cols>
  <sheetData>
    <row r="1" ht="13.5" customHeight="1" s="257"/>
    <row r="2" ht="48.75" customHeight="1" s="257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AU2" s="255" t="n"/>
    </row>
    <row r="3" ht="20.25" customHeight="1" s="257"/>
    <row r="4" ht="20.25" customHeight="1" s="257" thickBot="1">
      <c r="E4" s="235" t="n">
        <v>1</v>
      </c>
      <c r="F4" s="258" t="n"/>
      <c r="G4" s="258" t="n"/>
      <c r="H4" s="235" t="n">
        <v>2</v>
      </c>
      <c r="I4" s="258" t="n"/>
      <c r="J4" s="258" t="n"/>
      <c r="K4" s="235" t="n">
        <v>3</v>
      </c>
      <c r="L4" s="258" t="n"/>
      <c r="M4" s="258" t="n"/>
      <c r="N4" s="235" t="n">
        <v>4</v>
      </c>
      <c r="O4" s="258" t="n"/>
      <c r="P4" s="258" t="n"/>
      <c r="Q4" s="235" t="n">
        <v>5</v>
      </c>
      <c r="R4" s="258" t="n"/>
      <c r="S4" s="258" t="n"/>
      <c r="T4" s="235" t="n">
        <v>6</v>
      </c>
      <c r="U4" s="258" t="n"/>
      <c r="V4" s="258" t="n"/>
      <c r="W4" s="235" t="n">
        <v>7</v>
      </c>
      <c r="X4" s="258" t="n"/>
      <c r="Y4" s="258" t="n"/>
      <c r="Z4" s="235" t="n">
        <v>8</v>
      </c>
      <c r="AA4" s="258" t="n"/>
      <c r="AB4" s="258" t="n"/>
      <c r="AC4" s="235" t="n">
        <v>9</v>
      </c>
      <c r="AD4" s="258" t="n"/>
      <c r="AE4" s="258" t="n"/>
      <c r="AF4" s="235" t="n">
        <v>10</v>
      </c>
      <c r="AG4" s="258" t="n"/>
      <c r="AH4" s="258" t="n"/>
      <c r="AI4" s="235" t="n">
        <v>11</v>
      </c>
      <c r="AJ4" s="258" t="n"/>
      <c r="AK4" s="258" t="n"/>
    </row>
    <row r="5" ht="57" customHeight="1" s="257" thickBot="1">
      <c r="B5" s="108" t="inlineStr">
        <is>
          <t>チーム名</t>
        </is>
      </c>
      <c r="C5" s="259" t="n"/>
      <c r="D5" s="260" t="n"/>
      <c r="E5" s="106">
        <f>C6</f>
        <v/>
      </c>
      <c r="F5" s="259" t="n"/>
      <c r="G5" s="260" t="n"/>
      <c r="H5" s="107">
        <f>C8</f>
        <v/>
      </c>
      <c r="I5" s="259" t="n"/>
      <c r="J5" s="260" t="n"/>
      <c r="K5" s="107">
        <f>C10</f>
        <v/>
      </c>
      <c r="L5" s="259" t="n"/>
      <c r="M5" s="260" t="n"/>
      <c r="N5" s="107">
        <f>C12</f>
        <v/>
      </c>
      <c r="O5" s="259" t="n"/>
      <c r="P5" s="260" t="n"/>
      <c r="Q5" s="107">
        <f>C14</f>
        <v/>
      </c>
      <c r="R5" s="259" t="n"/>
      <c r="S5" s="260" t="n"/>
      <c r="T5" s="107">
        <f>C16</f>
        <v/>
      </c>
      <c r="U5" s="259" t="n"/>
      <c r="V5" s="260" t="n"/>
      <c r="W5" s="107">
        <f>C18</f>
        <v/>
      </c>
      <c r="X5" s="259" t="n"/>
      <c r="Y5" s="260" t="n"/>
      <c r="Z5" s="107">
        <f>C20</f>
        <v/>
      </c>
      <c r="AA5" s="259" t="n"/>
      <c r="AB5" s="260" t="n"/>
      <c r="AC5" s="107">
        <f>C22</f>
        <v/>
      </c>
      <c r="AD5" s="259" t="n"/>
      <c r="AE5" s="260" t="n"/>
      <c r="AF5" s="107">
        <f>C24</f>
        <v/>
      </c>
      <c r="AG5" s="259" t="n"/>
      <c r="AH5" s="260" t="n"/>
      <c r="AI5" s="107">
        <f>C26</f>
        <v/>
      </c>
      <c r="AJ5" s="259" t="n"/>
      <c r="AK5" s="260" t="n"/>
      <c r="AL5" s="34" t="inlineStr">
        <is>
          <t>勝</t>
        </is>
      </c>
      <c r="AM5" s="35" t="inlineStr">
        <is>
          <t>分</t>
        </is>
      </c>
      <c r="AN5" s="35" t="inlineStr">
        <is>
          <t>敗</t>
        </is>
      </c>
      <c r="AO5" s="35" t="inlineStr">
        <is>
          <t>勝点</t>
        </is>
      </c>
      <c r="AP5" s="36" t="inlineStr">
        <is>
          <t>失点</t>
        </is>
      </c>
      <c r="AQ5" s="35" t="inlineStr">
        <is>
          <t>得点</t>
        </is>
      </c>
      <c r="AR5" s="37" t="inlineStr">
        <is>
          <t>残試</t>
        </is>
      </c>
      <c r="AS5" s="7" t="inlineStr">
        <is>
          <t>順位</t>
        </is>
      </c>
      <c r="AW5" s="214" t="inlineStr">
        <is>
          <t>チームナンバー</t>
        </is>
      </c>
      <c r="AX5" s="261" t="n"/>
      <c r="AZ5" s="100" t="inlineStr">
        <is>
          <t>チームリスト</t>
        </is>
      </c>
      <c r="BA5" s="262" t="n"/>
    </row>
    <row r="6" ht="46.9" customHeight="1" s="257">
      <c r="B6" s="130" t="n">
        <v>1</v>
      </c>
      <c r="C6" s="132">
        <f>AX6</f>
        <v/>
      </c>
      <c r="D6" s="263" t="n"/>
      <c r="E6" s="146" t="n"/>
      <c r="G6" s="263" t="n"/>
      <c r="H6" s="264">
        <f>IF(H7="","",IF(H7="☂","☂",IF(H7&gt;J7,"○",IF(H7=J7,"△","×"))))</f>
        <v/>
      </c>
      <c r="I6" s="265" t="n"/>
      <c r="J6" s="266" t="n"/>
      <c r="K6" s="264">
        <f>IF(K7="","",IF(K7="☂","☂",IF(K7&gt;M7,"○",IF(K7=M7,"△","×"))))</f>
        <v/>
      </c>
      <c r="L6" s="265" t="n"/>
      <c r="M6" s="266" t="n"/>
      <c r="N6" s="264">
        <f>IF(N7="","",IF(N7="☂","☂",IF(N7&gt;P7,"○",IF(N7=P7,"△","×"))))</f>
        <v/>
      </c>
      <c r="O6" s="265" t="n"/>
      <c r="P6" s="266" t="n"/>
      <c r="Q6" s="264">
        <f>IF(Q7="","",IF(Q7="☂","☂",IF(Q7&gt;S7,"○",IF(Q7=S7,"△","×"))))</f>
        <v/>
      </c>
      <c r="R6" s="265" t="n"/>
      <c r="S6" s="266" t="n"/>
      <c r="T6" s="264">
        <f>IF(T7="","",IF(T7="☂","☂",IF(T7&gt;V7,"○",IF(T7=V7,"△","×"))))</f>
        <v/>
      </c>
      <c r="U6" s="265" t="n"/>
      <c r="V6" s="266" t="n"/>
      <c r="W6" s="264">
        <f>IF(W7="","",IF(W7="☂","☂",IF(W7&gt;Y7,"○",IF(W7=Y7,"△","×"))))</f>
        <v/>
      </c>
      <c r="X6" s="265" t="n"/>
      <c r="Y6" s="266" t="n"/>
      <c r="Z6" s="264">
        <f>IF(Z7="","",IF(Z7="☂","☂",IF(Z7&gt;AB7,"○",IF(Z7=AB7,"△","×"))))</f>
        <v/>
      </c>
      <c r="AA6" s="265" t="n"/>
      <c r="AB6" s="266" t="n"/>
      <c r="AC6" s="264">
        <f>IF(AC7="","",IF(AC7="☂","☂",IF(AC7&gt;AE7,"○",IF(AC7=AE7,"△","×"))))</f>
        <v/>
      </c>
      <c r="AD6" s="265" t="n"/>
      <c r="AE6" s="266" t="n"/>
      <c r="AF6" s="264">
        <f>IF(AF7="","",IF(AF7="☂","☂",IF(AF7&gt;AH7,"○",IF(AF7=AH7,"△","×"))))</f>
        <v/>
      </c>
      <c r="AG6" s="265" t="n"/>
      <c r="AH6" s="266" t="n"/>
      <c r="AI6" s="264">
        <f>IF(AI7="","",IF(AI7="☂","☂",IF(AI7&gt;AK7,"○",IF(AI7=AK7,"△","×"))))</f>
        <v/>
      </c>
      <c r="AJ6" s="265" t="n"/>
      <c r="AK6" s="266" t="n"/>
      <c r="AL6" s="267">
        <f>COUNTIF(E6:AK6,"○")</f>
        <v/>
      </c>
      <c r="AM6" s="268">
        <f>COUNTIF(E6:AK6,"△")</f>
        <v/>
      </c>
      <c r="AN6" s="268">
        <f>COUNTIF(E6:AK6,"×")</f>
        <v/>
      </c>
      <c r="AO6" s="268">
        <f>AL6*3+AM6*1</f>
        <v/>
      </c>
      <c r="AP6" s="269">
        <f>SUM(J7,M7,P7,S7,V7,Y7,AB7,AK7)</f>
        <v/>
      </c>
      <c r="AQ6" s="268">
        <f>SUM(H7,K7,N7,Q7,T7,W7,Z7,AI7)</f>
        <v/>
      </c>
      <c r="AR6" s="270">
        <f>$AY$21-AL6-AM6-AN6</f>
        <v/>
      </c>
      <c r="AS6" s="114">
        <f>IFERROR(_xlfn.RANK.EQ(AO6,$AO$6:$AO$27),"")</f>
        <v/>
      </c>
      <c r="AV6" s="213" t="n">
        <v>1</v>
      </c>
      <c r="AW6" s="209" t="n">
        <v>1</v>
      </c>
      <c r="AX6" s="210">
        <f>IFERROR(VLOOKUP(AW6,AZ$6:BA$20,2,0),"")</f>
        <v/>
      </c>
      <c r="AZ6" s="5" t="n">
        <v>1</v>
      </c>
      <c r="BA6" s="6" t="inlineStr">
        <is>
          <t>野宮塗装</t>
        </is>
      </c>
    </row>
    <row r="7" ht="46.9" customHeight="1" s="257">
      <c r="B7" s="271" t="n"/>
      <c r="C7" s="272" t="n"/>
      <c r="D7" s="273" t="n"/>
      <c r="E7" s="262" t="n"/>
      <c r="F7" s="262" t="n"/>
      <c r="G7" s="273" t="n"/>
      <c r="H7" s="274">
        <f>IF(G9="","",G9)</f>
        <v/>
      </c>
      <c r="I7" s="8" t="inlineStr">
        <is>
          <t>-</t>
        </is>
      </c>
      <c r="J7" s="274">
        <f>IF(E9="","",E9)</f>
        <v/>
      </c>
      <c r="K7" s="274">
        <f>IF(G11="","",G11)</f>
        <v/>
      </c>
      <c r="L7" s="8" t="inlineStr">
        <is>
          <t>-</t>
        </is>
      </c>
      <c r="M7" s="274">
        <f>IF(E11="","",E11)</f>
        <v/>
      </c>
      <c r="N7" s="274">
        <f>IF(G13="","",G13)</f>
        <v/>
      </c>
      <c r="O7" s="8" t="inlineStr">
        <is>
          <t>-</t>
        </is>
      </c>
      <c r="P7" s="274">
        <f>IF(E13="","",E13)</f>
        <v/>
      </c>
      <c r="Q7" s="274">
        <f>IF(G15="","",G15)</f>
        <v/>
      </c>
      <c r="R7" s="8" t="inlineStr">
        <is>
          <t>-</t>
        </is>
      </c>
      <c r="S7" s="274">
        <f>IF(E15="","",E15)</f>
        <v/>
      </c>
      <c r="T7" s="274">
        <f>IF(G17="","",G17)</f>
        <v/>
      </c>
      <c r="U7" s="8" t="inlineStr">
        <is>
          <t>-</t>
        </is>
      </c>
      <c r="V7" s="274">
        <f>IF(E17="","",E17)</f>
        <v/>
      </c>
      <c r="W7" s="274">
        <f>IF(G19="","",G19)</f>
        <v/>
      </c>
      <c r="X7" s="8" t="inlineStr">
        <is>
          <t>-</t>
        </is>
      </c>
      <c r="Y7" s="274">
        <f>IF(E19="","",E19)</f>
        <v/>
      </c>
      <c r="Z7" s="274">
        <f>IF(G21="","",G21)</f>
        <v/>
      </c>
      <c r="AA7" s="8" t="inlineStr">
        <is>
          <t>-</t>
        </is>
      </c>
      <c r="AB7" s="274">
        <f>IF(E21="","",E21)</f>
        <v/>
      </c>
      <c r="AC7" s="274">
        <f>IF(G23="","",G23)</f>
        <v/>
      </c>
      <c r="AD7" s="8" t="inlineStr">
        <is>
          <t>-</t>
        </is>
      </c>
      <c r="AE7" s="274">
        <f>IF(E23="","",E23)</f>
        <v/>
      </c>
      <c r="AF7" s="274">
        <f>IF(G25="","",G25)</f>
        <v/>
      </c>
      <c r="AG7" s="8" t="inlineStr">
        <is>
          <t>-</t>
        </is>
      </c>
      <c r="AH7" s="274">
        <f>IF(E25="","",E25)</f>
        <v/>
      </c>
      <c r="AI7" s="274">
        <f>IF(G27="","",G27)</f>
        <v/>
      </c>
      <c r="AJ7" s="8" t="inlineStr">
        <is>
          <t>-</t>
        </is>
      </c>
      <c r="AK7" s="274">
        <f>IF(E27="","",G27)</f>
        <v/>
      </c>
      <c r="AL7" s="271" t="n"/>
      <c r="AM7" s="275" t="n"/>
      <c r="AN7" s="275" t="n"/>
      <c r="AO7" s="275" t="n"/>
      <c r="AP7" s="272" t="n"/>
      <c r="AQ7" s="275" t="n"/>
      <c r="AR7" s="275" t="n"/>
      <c r="AS7" s="276" t="n"/>
      <c r="AV7" s="275" t="n"/>
      <c r="AW7" s="277" t="n"/>
      <c r="AX7" s="275" t="n"/>
      <c r="AZ7" s="5" t="n">
        <v>2</v>
      </c>
      <c r="BA7" s="6" t="inlineStr">
        <is>
          <t>飯詰</t>
        </is>
      </c>
    </row>
    <row r="8" ht="46.9" customHeight="1" s="257">
      <c r="B8" s="117" t="n">
        <v>2</v>
      </c>
      <c r="C8" s="118">
        <f>AX8</f>
        <v/>
      </c>
      <c r="D8" s="263" t="n"/>
      <c r="E8" s="122">
        <f>IF(E9="","",IF(E9="☂","☂",IF(E9&gt;G9,"○",IF(E9=G9,"△","×"))))</f>
        <v/>
      </c>
      <c r="F8" s="278" t="n"/>
      <c r="G8" s="279" t="n"/>
      <c r="H8" s="280" t="n"/>
      <c r="I8" s="281" t="n"/>
      <c r="J8" s="261" t="n"/>
      <c r="K8" s="282">
        <f>IF(K9="","",IF(K9="☂","☂",IF(K9&gt;M9,"○",IF(K9=M9,"△","×"))))</f>
        <v/>
      </c>
      <c r="L8" s="283" t="n"/>
      <c r="M8" s="284" t="n"/>
      <c r="N8" s="282">
        <f>IF(N9="","",IF(N9="☂","☂",IF(N9&gt;P9,"○",IF(N9=P9,"△","×"))))</f>
        <v/>
      </c>
      <c r="O8" s="283" t="n"/>
      <c r="P8" s="284" t="n"/>
      <c r="Q8" s="282">
        <f>IF(Q9="","",IF(Q9="☂","☂",IF(Q9&gt;S9,"○",IF(Q9=S9,"△","×"))))</f>
        <v/>
      </c>
      <c r="R8" s="283" t="n"/>
      <c r="S8" s="284" t="n"/>
      <c r="T8" s="282">
        <f>IF(T9="","",IF(T9="☂","☂",IF(T9&gt;V9,"○",IF(T9=V9,"△","×"))))</f>
        <v/>
      </c>
      <c r="U8" s="283" t="n"/>
      <c r="V8" s="284" t="n"/>
      <c r="W8" s="282">
        <f>IF(W9="","",IF(W9="☂","☂",IF(W9&gt;Y9,"○",IF(W9=Y9,"△","×"))))</f>
        <v/>
      </c>
      <c r="X8" s="283" t="n"/>
      <c r="Y8" s="284" t="n"/>
      <c r="Z8" s="282">
        <f>IF(Z9="","",IF(Z9="☂","☂",IF(Z9&gt;AB9,"○",IF(Z9=AB9,"△","×"))))</f>
        <v/>
      </c>
      <c r="AA8" s="283" t="n"/>
      <c r="AB8" s="284" t="n"/>
      <c r="AC8" s="282">
        <f>IF(AC9="","",IF(AC9="☂","☂",IF(AC9&gt;AE9,"○",IF(AC9=AE9,"△","×"))))</f>
        <v/>
      </c>
      <c r="AD8" s="283" t="n"/>
      <c r="AE8" s="284" t="n"/>
      <c r="AF8" s="282">
        <f>IF(AF9="","",IF(AF9="☂","☂",IF(AF9&gt;AH9,"○",IF(AF9=AH9,"△","×"))))</f>
        <v/>
      </c>
      <c r="AG8" s="283" t="n"/>
      <c r="AH8" s="284" t="n"/>
      <c r="AI8" s="282">
        <f>IF(AI9="","",IF(AI9="☂","☂",IF(AI9&gt;AK9,"○",IF(AI9=AK9,"△","×"))))</f>
        <v/>
      </c>
      <c r="AJ8" s="283" t="n"/>
      <c r="AK8" s="284" t="n"/>
      <c r="AL8" s="285">
        <f>COUNTIF(E8:AK8,"○")</f>
        <v/>
      </c>
      <c r="AM8" s="286">
        <f>COUNTIF(E8:AK8,"△")</f>
        <v/>
      </c>
      <c r="AN8" s="286">
        <f>COUNTIF(E8:AK8,"×")</f>
        <v/>
      </c>
      <c r="AO8" s="286">
        <f>AL8*3+AM8*1</f>
        <v/>
      </c>
      <c r="AP8" s="286">
        <f>SUM(G9,M9,P9,S9,V9,Y9,AB9,AK9)</f>
        <v/>
      </c>
      <c r="AQ8" s="286">
        <f>SUM(E9,K9,N9,Q9,T9,W9,Z9,AI9)</f>
        <v/>
      </c>
      <c r="AR8" s="286">
        <f>$AY$21-AL8-AM8-AN8</f>
        <v/>
      </c>
      <c r="AS8" s="287">
        <f>IFERROR(_xlfn.RANK.EQ(AO8,$AO$6:$AO$27),"")</f>
        <v/>
      </c>
      <c r="AV8" s="213" t="n">
        <v>2</v>
      </c>
      <c r="AW8" s="209" t="n">
        <v>2</v>
      </c>
      <c r="AX8" s="210">
        <f>IFERROR(VLOOKUP(AW8,AZ$6:BA$20,2,0),"")</f>
        <v/>
      </c>
      <c r="AZ8" s="5" t="n">
        <v>3</v>
      </c>
      <c r="BA8" s="6" t="inlineStr">
        <is>
          <t>バッカス</t>
        </is>
      </c>
    </row>
    <row r="9" ht="46.9" customHeight="1" s="257">
      <c r="B9" s="271" t="n"/>
      <c r="C9" s="272" t="n"/>
      <c r="D9" s="273" t="n"/>
      <c r="E9" s="62" t="n"/>
      <c r="F9" s="123" t="inlineStr">
        <is>
          <t>-</t>
        </is>
      </c>
      <c r="G9" s="63" t="n"/>
      <c r="H9" s="272" t="n"/>
      <c r="I9" s="262" t="n"/>
      <c r="J9" s="273" t="n"/>
      <c r="K9" s="123">
        <f>IF(J11="","",J11)</f>
        <v/>
      </c>
      <c r="L9" s="123" t="inlineStr">
        <is>
          <t>-</t>
        </is>
      </c>
      <c r="M9" s="123">
        <f>IF(H11="","",H11)</f>
        <v/>
      </c>
      <c r="N9" s="123">
        <f>IF(J13="","",J13)</f>
        <v/>
      </c>
      <c r="O9" s="123" t="inlineStr">
        <is>
          <t>-</t>
        </is>
      </c>
      <c r="P9" s="123">
        <f>IF(H13="","",H13)</f>
        <v/>
      </c>
      <c r="Q9" s="123">
        <f>IF(J15="","",J15)</f>
        <v/>
      </c>
      <c r="R9" s="123" t="inlineStr">
        <is>
          <t>-</t>
        </is>
      </c>
      <c r="S9" s="123">
        <f>IF(H15="","",H15)</f>
        <v/>
      </c>
      <c r="T9" s="123">
        <f>IF(J17="","",J17)</f>
        <v/>
      </c>
      <c r="U9" s="123" t="inlineStr">
        <is>
          <t>-</t>
        </is>
      </c>
      <c r="V9" s="123">
        <f>IF(H17="","",H17)</f>
        <v/>
      </c>
      <c r="W9" s="123">
        <f>IF(J19="","",J19)</f>
        <v/>
      </c>
      <c r="X9" s="123" t="inlineStr">
        <is>
          <t>-</t>
        </is>
      </c>
      <c r="Y9" s="123">
        <f>IF(H19="","",H19)</f>
        <v/>
      </c>
      <c r="Z9" s="123">
        <f>IF(J21="","",J21)</f>
        <v/>
      </c>
      <c r="AA9" s="123" t="inlineStr">
        <is>
          <t>-</t>
        </is>
      </c>
      <c r="AB9" s="123">
        <f>IF(H21="","",H21)</f>
        <v/>
      </c>
      <c r="AC9" s="123">
        <f>IF(J23="","",J23)</f>
        <v/>
      </c>
      <c r="AD9" s="123" t="inlineStr">
        <is>
          <t>-</t>
        </is>
      </c>
      <c r="AE9" s="123">
        <f>IF(H23="","",H23)</f>
        <v/>
      </c>
      <c r="AF9" s="123">
        <f>IF(J25="","",J25)</f>
        <v/>
      </c>
      <c r="AG9" s="123" t="inlineStr">
        <is>
          <t>-</t>
        </is>
      </c>
      <c r="AH9" s="123">
        <f>IF(H25="","",H25)</f>
        <v/>
      </c>
      <c r="AI9" s="123">
        <f>IF(J27="","",J27)</f>
        <v/>
      </c>
      <c r="AJ9" s="123" t="inlineStr">
        <is>
          <t>-</t>
        </is>
      </c>
      <c r="AK9" s="123">
        <f>IF(H27="","",H27)</f>
        <v/>
      </c>
      <c r="AL9" s="271" t="n"/>
      <c r="AM9" s="275" t="n"/>
      <c r="AN9" s="275" t="n"/>
      <c r="AO9" s="275" t="n"/>
      <c r="AP9" s="275" t="n"/>
      <c r="AQ9" s="275" t="n"/>
      <c r="AR9" s="275" t="n"/>
      <c r="AS9" s="288" t="n"/>
      <c r="AV9" s="275" t="n"/>
      <c r="AW9" s="277" t="n"/>
      <c r="AX9" s="275" t="n"/>
      <c r="AZ9" s="5" t="n">
        <v>4</v>
      </c>
      <c r="BA9" s="6" t="inlineStr">
        <is>
          <t>ウエスタン</t>
        </is>
      </c>
    </row>
    <row r="10" ht="46.9" customHeight="1" s="257">
      <c r="B10" s="131" t="n">
        <v>3</v>
      </c>
      <c r="C10" s="132">
        <f>AX10</f>
        <v/>
      </c>
      <c r="D10" s="263" t="n"/>
      <c r="E10" s="289">
        <f>IF(E11="","",IF(E11="☂","☂",IF(E11&gt;G11,"○",IF(E11=G11,"△","×"))))</f>
        <v/>
      </c>
      <c r="F10" s="278" t="n"/>
      <c r="G10" s="279" t="n"/>
      <c r="H10" s="8">
        <f>IF(H11="","",IF(H11="☂","☂",IF(H11&gt;J11,"○",IF(H11=J11,"△","×"))))</f>
        <v/>
      </c>
      <c r="I10" s="278" t="n"/>
      <c r="J10" s="279" t="n"/>
      <c r="K10" s="290" t="n"/>
      <c r="L10" s="281" t="n"/>
      <c r="M10" s="261" t="n"/>
      <c r="N10" s="291">
        <f>IF(N11="","",IF(N11="☂","☂",IF(N11&gt;P11,"○",IF(N11=P11,"△","×"))))</f>
        <v/>
      </c>
      <c r="O10" s="283" t="n"/>
      <c r="P10" s="284" t="n"/>
      <c r="Q10" s="291">
        <f>IF(Q11="","",IF(Q11="☂","☂",IF(Q11&gt;S11,"○",IF(Q11=S11,"△","×"))))</f>
        <v/>
      </c>
      <c r="R10" s="283" t="n"/>
      <c r="S10" s="284" t="n"/>
      <c r="T10" s="291">
        <f>IF(T11="","",IF(T11="☂","☂",IF(T11&gt;V11,"○",IF(T11=V11,"△","×"))))</f>
        <v/>
      </c>
      <c r="U10" s="283" t="n"/>
      <c r="V10" s="284" t="n"/>
      <c r="W10" s="291">
        <f>IF(W11="","",IF(W11="☂","☂",IF(W11&gt;Y11,"○",IF(W11=Y11,"△","×"))))</f>
        <v/>
      </c>
      <c r="X10" s="283" t="n"/>
      <c r="Y10" s="284" t="n"/>
      <c r="Z10" s="291">
        <f>IF(Z11="","",IF(Z11="☂","☂",IF(Z11&gt;AB11,"○",IF(Z11=AB11,"△","×"))))</f>
        <v/>
      </c>
      <c r="AA10" s="283" t="n"/>
      <c r="AB10" s="284" t="n"/>
      <c r="AC10" s="291">
        <f>IF(AC11="","",IF(AC11="☂","☂",IF(AC11&gt;AE11,"○",IF(AC11=AE11,"△","×"))))</f>
        <v/>
      </c>
      <c r="AD10" s="283" t="n"/>
      <c r="AE10" s="284" t="n"/>
      <c r="AF10" s="291">
        <f>IF(AF11="","",IF(AF11="☂","☂",IF(AF11&gt;AH11,"○",IF(AF11=AH11,"△","×"))))</f>
        <v/>
      </c>
      <c r="AG10" s="283" t="n"/>
      <c r="AH10" s="284" t="n"/>
      <c r="AI10" s="291">
        <f>IF(AI11="","",IF(AI11="☂","☂",IF(AI11&gt;AK11,"○",IF(AI11=AK11,"△","×"))))</f>
        <v/>
      </c>
      <c r="AJ10" s="283" t="n"/>
      <c r="AK10" s="284" t="n"/>
      <c r="AL10" s="292">
        <f>COUNTIF(E10:AK10,"○")</f>
        <v/>
      </c>
      <c r="AM10" s="293">
        <f>COUNTIF(E10:AK10,"△")</f>
        <v/>
      </c>
      <c r="AN10" s="293">
        <f>COUNTIF(E10:AK10,"×")</f>
        <v/>
      </c>
      <c r="AO10" s="293">
        <f>AL10*3+AM10*1</f>
        <v/>
      </c>
      <c r="AP10" s="293">
        <f>SUM(G11,J11,M11,P11,S11,V11,Y11,AB11,AK11)</f>
        <v/>
      </c>
      <c r="AQ10" s="293">
        <f>SUM(E11,H11,K11,N11,Q11,T11,W11,Z11,AI11)</f>
        <v/>
      </c>
      <c r="AR10" s="293">
        <f>$AY$21-AL10-AM10-AN10</f>
        <v/>
      </c>
      <c r="AS10" s="287">
        <f>IFERROR(_xlfn.RANK.EQ(AO10,$AO$6:$AO$27),"")</f>
        <v/>
      </c>
      <c r="AV10" s="213" t="n">
        <v>3</v>
      </c>
      <c r="AW10" s="209" t="n">
        <v>3</v>
      </c>
      <c r="AX10" s="210">
        <f>IFERROR(VLOOKUP(AW10,AZ$6:BA$20,2,0),"")</f>
        <v/>
      </c>
      <c r="AZ10" s="5" t="n">
        <v>5</v>
      </c>
      <c r="BA10" s="6" t="inlineStr">
        <is>
          <t>富士電機</t>
        </is>
      </c>
    </row>
    <row r="11" ht="46.9" customHeight="1" s="257">
      <c r="B11" s="271" t="n"/>
      <c r="C11" s="272" t="n"/>
      <c r="D11" s="273" t="n"/>
      <c r="E11" s="9" t="n"/>
      <c r="F11" s="8" t="n"/>
      <c r="G11" s="10" t="n"/>
      <c r="H11" s="10" t="n"/>
      <c r="I11" s="8" t="inlineStr">
        <is>
          <t>-</t>
        </is>
      </c>
      <c r="J11" s="10" t="n"/>
      <c r="K11" s="272" t="n"/>
      <c r="L11" s="262" t="n"/>
      <c r="M11" s="273" t="n"/>
      <c r="N11" s="8">
        <f>IF(M13="","",M13)</f>
        <v/>
      </c>
      <c r="O11" s="8" t="inlineStr">
        <is>
          <t>-</t>
        </is>
      </c>
      <c r="P11" s="8">
        <f>IF(K13="","",K13)</f>
        <v/>
      </c>
      <c r="Q11" s="8">
        <f>IF(M15="","",M15)</f>
        <v/>
      </c>
      <c r="R11" s="8" t="inlineStr">
        <is>
          <t>-</t>
        </is>
      </c>
      <c r="S11" s="8">
        <f>IF(K15="","",K15)</f>
        <v/>
      </c>
      <c r="T11" s="8">
        <f>IF(M17="","",M17)</f>
        <v/>
      </c>
      <c r="U11" s="8" t="inlineStr">
        <is>
          <t>-</t>
        </is>
      </c>
      <c r="V11" s="8">
        <f>IF(K17="","",K17)</f>
        <v/>
      </c>
      <c r="W11" s="8">
        <f>IF(M19="","",M19)</f>
        <v/>
      </c>
      <c r="X11" s="8" t="inlineStr">
        <is>
          <t>-</t>
        </is>
      </c>
      <c r="Y11" s="8">
        <f>IF(K19="","",K19)</f>
        <v/>
      </c>
      <c r="Z11" s="8">
        <f>IF(M21="","",M21)</f>
        <v/>
      </c>
      <c r="AA11" s="8" t="inlineStr">
        <is>
          <t>-</t>
        </is>
      </c>
      <c r="AB11" s="8">
        <f>IF(K21="","",K21)</f>
        <v/>
      </c>
      <c r="AC11" s="8">
        <f>IF(M23="","",M23)</f>
        <v/>
      </c>
      <c r="AD11" s="8" t="inlineStr">
        <is>
          <t>-</t>
        </is>
      </c>
      <c r="AE11" s="8">
        <f>IF(K23="","",K23)</f>
        <v/>
      </c>
      <c r="AF11" s="8">
        <f>IF(M25="","",M25)</f>
        <v/>
      </c>
      <c r="AG11" s="8" t="inlineStr">
        <is>
          <t>-</t>
        </is>
      </c>
      <c r="AH11" s="8">
        <f>IF(K25="","",K25)</f>
        <v/>
      </c>
      <c r="AI11" s="8">
        <f>IF(M27="","",M27)</f>
        <v/>
      </c>
      <c r="AJ11" s="8" t="inlineStr">
        <is>
          <t>-</t>
        </is>
      </c>
      <c r="AK11" s="8">
        <f>IF(K27="","",K27)</f>
        <v/>
      </c>
      <c r="AL11" s="271" t="n"/>
      <c r="AM11" s="275" t="n"/>
      <c r="AN11" s="275" t="n"/>
      <c r="AO11" s="275" t="n"/>
      <c r="AP11" s="275" t="n"/>
      <c r="AQ11" s="275" t="n"/>
      <c r="AR11" s="275" t="n"/>
      <c r="AS11" s="288" t="n"/>
      <c r="AV11" s="275" t="n"/>
      <c r="AW11" s="277" t="n"/>
      <c r="AX11" s="275" t="n"/>
      <c r="AZ11" s="5" t="n">
        <v>6</v>
      </c>
      <c r="BA11" s="6" t="inlineStr">
        <is>
          <t>日産</t>
        </is>
      </c>
    </row>
    <row r="12" ht="46.9" customHeight="1" s="257">
      <c r="B12" s="117" t="n">
        <v>4</v>
      </c>
      <c r="C12" s="118">
        <f>AX12</f>
        <v/>
      </c>
      <c r="D12" s="263" t="n"/>
      <c r="E12" s="294">
        <f>IF(E13="","",IF(E13="☂","☂",IF(E13&gt;G13,"○",IF(E13=G13,"△","×"))))</f>
        <v/>
      </c>
      <c r="F12" s="278" t="n"/>
      <c r="G12" s="279" t="n"/>
      <c r="H12" s="123">
        <f>IF(H13="","",IF(H13="☂","☂",IF(H13&gt;J13,"○",IF(H13=J13,"△","×"))))</f>
        <v/>
      </c>
      <c r="I12" s="278" t="n"/>
      <c r="J12" s="279" t="n"/>
      <c r="K12" s="123">
        <f>IF(K13="","",IF(K13="☂","☂",IF(K13&gt;M13,"○",IF(K13=M13,"△","×"))))</f>
        <v/>
      </c>
      <c r="L12" s="278" t="n"/>
      <c r="M12" s="279" t="n"/>
      <c r="N12" s="280" t="n"/>
      <c r="O12" s="281" t="n"/>
      <c r="P12" s="261" t="n"/>
      <c r="Q12" s="282">
        <f>IF(Q13="","",IF(Q13="☂","☂",IF(Q13&gt;S13,"○",IF(Q13=S13,"△","×"))))</f>
        <v/>
      </c>
      <c r="R12" s="283" t="n"/>
      <c r="S12" s="284" t="n"/>
      <c r="T12" s="282">
        <f>IF(T13="","",IF(T13="☂","☂",IF(T13&gt;V13,"○",IF(T13=V13,"△","×"))))</f>
        <v/>
      </c>
      <c r="U12" s="283" t="n"/>
      <c r="V12" s="284" t="n"/>
      <c r="W12" s="282">
        <f>IF(W13="","",IF(W13="☂","☂",IF(W13&gt;Y13,"○",IF(W13=Y13,"△","×"))))</f>
        <v/>
      </c>
      <c r="X12" s="283" t="n"/>
      <c r="Y12" s="284" t="n"/>
      <c r="Z12" s="282">
        <f>IF(Z13="","",IF(Z13="☂","☂",IF(Z13&gt;AB13,"○",IF(Z13=AB13,"△","×"))))</f>
        <v/>
      </c>
      <c r="AA12" s="283" t="n"/>
      <c r="AB12" s="284" t="n"/>
      <c r="AC12" s="282">
        <f>IF(AC13="","",IF(AC13="☂","☂",IF(AC13&gt;AE13,"○",IF(AC13=AE13,"△","×"))))</f>
        <v/>
      </c>
      <c r="AD12" s="283" t="n"/>
      <c r="AE12" s="284" t="n"/>
      <c r="AF12" s="282">
        <f>IF(AF13="","",IF(AF13="☂","☂",IF(AF13&gt;AH13,"○",IF(AF13=AH13,"△","×"))))</f>
        <v/>
      </c>
      <c r="AG12" s="283" t="n"/>
      <c r="AH12" s="284" t="n"/>
      <c r="AI12" s="282">
        <f>IF(AI13="","",IF(AI13="☂","☂",IF(AI13&gt;AK13,"○",IF(AI13=AK13,"△","×"))))</f>
        <v/>
      </c>
      <c r="AJ12" s="283" t="n"/>
      <c r="AK12" s="284" t="n"/>
      <c r="AL12" s="285">
        <f>COUNTIF(E12:AK12,"○")</f>
        <v/>
      </c>
      <c r="AM12" s="286">
        <f>COUNTIF(E12:AK12,"△")</f>
        <v/>
      </c>
      <c r="AN12" s="286">
        <f>COUNTIF(E12:AK12,"×")</f>
        <v/>
      </c>
      <c r="AO12" s="286">
        <f>AL12*3+AM12*1</f>
        <v/>
      </c>
      <c r="AP12" s="286">
        <f>SUM(G13,J13,M13,P13,S13,V13,Y13,AB13,AK13)</f>
        <v/>
      </c>
      <c r="AQ12" s="286">
        <f>SUM(E13,H13,K13,N13,Q13,T13,W13,Z13,AI13)</f>
        <v/>
      </c>
      <c r="AR12" s="286">
        <f>$AY$21-AL12-AM12-AN12</f>
        <v/>
      </c>
      <c r="AS12" s="295">
        <f>IFERROR(_xlfn.RANK.EQ(AO12,$AO$6:$AO$27),"")</f>
        <v/>
      </c>
      <c r="AV12" s="213" t="n">
        <v>4</v>
      </c>
      <c r="AW12" s="209" t="n">
        <v>4</v>
      </c>
      <c r="AX12" s="210">
        <f>IFERROR(VLOOKUP(AW12,AZ$6:BA$20,2,0),"")</f>
        <v/>
      </c>
      <c r="AZ12" s="5" t="n">
        <v>7</v>
      </c>
      <c r="BA12" s="6" t="n"/>
    </row>
    <row r="13" ht="46.9" customHeight="1" s="257">
      <c r="B13" s="271" t="n"/>
      <c r="C13" s="272" t="n"/>
      <c r="D13" s="273" t="n"/>
      <c r="E13" s="63" t="n"/>
      <c r="F13" s="123" t="inlineStr">
        <is>
          <t>-</t>
        </is>
      </c>
      <c r="G13" s="64" t="n"/>
      <c r="H13" s="63" t="n"/>
      <c r="I13" s="123" t="inlineStr">
        <is>
          <t>-</t>
        </is>
      </c>
      <c r="J13" s="63" t="n"/>
      <c r="K13" s="63" t="n"/>
      <c r="L13" s="123" t="inlineStr">
        <is>
          <t>-</t>
        </is>
      </c>
      <c r="M13" s="63" t="n"/>
      <c r="N13" s="272" t="n"/>
      <c r="O13" s="262" t="n"/>
      <c r="P13" s="273" t="n"/>
      <c r="Q13" s="123">
        <f>IF(P15="","",P15)</f>
        <v/>
      </c>
      <c r="R13" s="123" t="inlineStr">
        <is>
          <t>-</t>
        </is>
      </c>
      <c r="S13" s="123">
        <f>IF(N15="","",N15)</f>
        <v/>
      </c>
      <c r="T13" s="123">
        <f>IF(P17="","",P17)</f>
        <v/>
      </c>
      <c r="U13" s="123" t="inlineStr">
        <is>
          <t>-</t>
        </is>
      </c>
      <c r="V13" s="123">
        <f>IF(N17="","",N17)</f>
        <v/>
      </c>
      <c r="W13" s="123">
        <f>IF(P19="","",P19)</f>
        <v/>
      </c>
      <c r="X13" s="123" t="inlineStr">
        <is>
          <t>-</t>
        </is>
      </c>
      <c r="Y13" s="123">
        <f>IF(N19="","",N19)</f>
        <v/>
      </c>
      <c r="Z13" s="123">
        <f>IF(P21="","",P21)</f>
        <v/>
      </c>
      <c r="AA13" s="123" t="inlineStr">
        <is>
          <t>-</t>
        </is>
      </c>
      <c r="AB13" s="123">
        <f>IF(N21="","",N21)</f>
        <v/>
      </c>
      <c r="AC13" s="123">
        <f>IF(P23="","",P23)</f>
        <v/>
      </c>
      <c r="AD13" s="123" t="inlineStr">
        <is>
          <t>-</t>
        </is>
      </c>
      <c r="AE13" s="123">
        <f>IF(N23="","",N23)</f>
        <v/>
      </c>
      <c r="AF13" s="123">
        <f>IF(P25="","",P25)</f>
        <v/>
      </c>
      <c r="AG13" s="123" t="inlineStr">
        <is>
          <t>-</t>
        </is>
      </c>
      <c r="AH13" s="123">
        <f>IF(N25="","",N25)</f>
        <v/>
      </c>
      <c r="AI13" s="123">
        <f>IF(P27="","",P27)</f>
        <v/>
      </c>
      <c r="AJ13" s="123" t="inlineStr">
        <is>
          <t>-</t>
        </is>
      </c>
      <c r="AK13" s="123">
        <f>IF(N27="","",N27)</f>
        <v/>
      </c>
      <c r="AL13" s="271" t="n"/>
      <c r="AM13" s="275" t="n"/>
      <c r="AN13" s="275" t="n"/>
      <c r="AO13" s="275" t="n"/>
      <c r="AP13" s="275" t="n"/>
      <c r="AQ13" s="275" t="n"/>
      <c r="AR13" s="275" t="n"/>
      <c r="AS13" s="288" t="n"/>
      <c r="AV13" s="275" t="n"/>
      <c r="AW13" s="277" t="n"/>
      <c r="AX13" s="275" t="n"/>
      <c r="AZ13" s="5" t="n">
        <v>8</v>
      </c>
      <c r="BA13" s="6" t="n"/>
    </row>
    <row r="14" ht="46.9" customHeight="1" s="257">
      <c r="B14" s="131" t="n">
        <v>5</v>
      </c>
      <c r="C14" s="132">
        <f>AX14</f>
        <v/>
      </c>
      <c r="D14" s="263" t="n"/>
      <c r="E14" s="289">
        <f>IF(E15="","",IF(E15="☂","☂",IF(E15&gt;G15,"○",IF(E15=G15,"△","×"))))</f>
        <v/>
      </c>
      <c r="F14" s="278" t="n"/>
      <c r="G14" s="279" t="n"/>
      <c r="H14" s="8">
        <f>IF(H15="","",IF(H15="☂","☂",IF(H15&gt;J15,"○",IF(H15=J15,"△","×"))))</f>
        <v/>
      </c>
      <c r="I14" s="278" t="n"/>
      <c r="J14" s="279" t="n"/>
      <c r="K14" s="8">
        <f>IF(K15="","",IF(K15="☂","☂",IF(K15&gt;M15,"○",IF(K15=M15,"△","×"))))</f>
        <v/>
      </c>
      <c r="L14" s="278" t="n"/>
      <c r="M14" s="279" t="n"/>
      <c r="N14" s="296">
        <f>IF(N15="","",IF(N15="☂","☂",IF(N15&gt;P15,"○",IF(N15=P15,"△","×"))))</f>
        <v/>
      </c>
      <c r="O14" s="297" t="n"/>
      <c r="P14" s="298" t="n"/>
      <c r="Q14" s="290" t="n"/>
      <c r="R14" s="281" t="n"/>
      <c r="S14" s="261" t="n"/>
      <c r="T14" s="291">
        <f>IF(T15="","",IF(T15="☂","☂",IF(T15&gt;V15,"○",IF(T15=V15,"△","×"))))</f>
        <v/>
      </c>
      <c r="U14" s="283" t="n"/>
      <c r="V14" s="284" t="n"/>
      <c r="W14" s="291">
        <f>IF(W15="","",IF(W15="☂","☂",IF(W15&gt;Y15,"○",IF(W15=Y15,"△","×"))))</f>
        <v/>
      </c>
      <c r="X14" s="283" t="n"/>
      <c r="Y14" s="284" t="n"/>
      <c r="Z14" s="291">
        <f>IF(Z15="","",IF(Z15="☂","☂",IF(Z15&gt;AB15,"○",IF(Z15=AB15,"△","×"))))</f>
        <v/>
      </c>
      <c r="AA14" s="283" t="n"/>
      <c r="AB14" s="284" t="n"/>
      <c r="AC14" s="291">
        <f>IF(AC15="","",IF(AC15="☂","☂",IF(AC15&gt;AE15,"○",IF(AC15=AE15,"△","×"))))</f>
        <v/>
      </c>
      <c r="AD14" s="283" t="n"/>
      <c r="AE14" s="284" t="n"/>
      <c r="AF14" s="291">
        <f>IF(AF15="","",IF(AF15="☂","☂",IF(AF15&gt;AH15,"○",IF(AF15=AH15,"△","×"))))</f>
        <v/>
      </c>
      <c r="AG14" s="283" t="n"/>
      <c r="AH14" s="284" t="n"/>
      <c r="AI14" s="291">
        <f>IF(AI15="","",IF(AI15="☂","☂",IF(AI15&gt;AK15,"○",IF(AI15=AK15,"△","×"))))</f>
        <v/>
      </c>
      <c r="AJ14" s="283" t="n"/>
      <c r="AK14" s="284" t="n"/>
      <c r="AL14" s="292">
        <f>COUNTIF(E14:AK14,"○")</f>
        <v/>
      </c>
      <c r="AM14" s="293">
        <f>COUNTIF(E14:AK14,"△")</f>
        <v/>
      </c>
      <c r="AN14" s="293">
        <f>COUNTIF(E14:AK14,"×")</f>
        <v/>
      </c>
      <c r="AO14" s="293">
        <f>AL14*3+AM14*1</f>
        <v/>
      </c>
      <c r="AP14" s="293">
        <f>SUM(G15,J15,M15,P15,S15,V15,Y15,AB15,AK15)</f>
        <v/>
      </c>
      <c r="AQ14" s="293">
        <f>SUM(E15,H15,K15,N15,Q15,T15,W15,Z15,AI15)</f>
        <v/>
      </c>
      <c r="AR14" s="293">
        <f>$AY$21-AL14-AM14-AN14</f>
        <v/>
      </c>
      <c r="AS14" s="287">
        <f>IFERROR(_xlfn.RANK.EQ(AO14,$AO$6:$AO$27),"")</f>
        <v/>
      </c>
      <c r="AV14" s="213" t="n">
        <v>5</v>
      </c>
      <c r="AW14" s="209" t="n">
        <v>5</v>
      </c>
      <c r="AX14" s="210">
        <f>IFERROR(VLOOKUP(AW14,AZ$6:BA$20,2,0),"")</f>
        <v/>
      </c>
      <c r="AZ14" s="5" t="n">
        <v>9</v>
      </c>
      <c r="BA14" s="6" t="n"/>
    </row>
    <row r="15" ht="46.9" customHeight="1" s="257">
      <c r="B15" s="271" t="n"/>
      <c r="C15" s="272" t="n"/>
      <c r="D15" s="273" t="n"/>
      <c r="E15" s="10" t="n"/>
      <c r="F15" s="8" t="inlineStr">
        <is>
          <t>-</t>
        </is>
      </c>
      <c r="G15" s="11" t="n"/>
      <c r="H15" s="10" t="n"/>
      <c r="I15" s="8" t="inlineStr">
        <is>
          <t>-</t>
        </is>
      </c>
      <c r="J15" s="10" t="n"/>
      <c r="K15" s="10" t="n"/>
      <c r="L15" s="8" t="inlineStr">
        <is>
          <t>-</t>
        </is>
      </c>
      <c r="M15" s="10" t="n"/>
      <c r="N15" s="10" t="n"/>
      <c r="O15" s="8" t="inlineStr">
        <is>
          <t>-</t>
        </is>
      </c>
      <c r="P15" s="10" t="n"/>
      <c r="Q15" s="272" t="n"/>
      <c r="R15" s="262" t="n"/>
      <c r="S15" s="273" t="n"/>
      <c r="T15" s="8">
        <f>IF(S17="","",S17)</f>
        <v/>
      </c>
      <c r="U15" s="8" t="inlineStr">
        <is>
          <t>-</t>
        </is>
      </c>
      <c r="V15" s="8">
        <f>IF(Q17="","",Q17)</f>
        <v/>
      </c>
      <c r="W15" s="8">
        <f>IF(S19="","",S19)</f>
        <v/>
      </c>
      <c r="X15" s="8" t="inlineStr">
        <is>
          <t>-</t>
        </is>
      </c>
      <c r="Y15" s="8">
        <f>IF(Q19="","",Q19)</f>
        <v/>
      </c>
      <c r="Z15" s="8">
        <f>IF(S21="","",S21)</f>
        <v/>
      </c>
      <c r="AA15" s="8" t="inlineStr">
        <is>
          <t>-</t>
        </is>
      </c>
      <c r="AB15" s="8">
        <f>IF(Q21="","",Q21)</f>
        <v/>
      </c>
      <c r="AC15" s="8">
        <f>IF(S23="","",S23)</f>
        <v/>
      </c>
      <c r="AD15" s="8" t="inlineStr">
        <is>
          <t>-</t>
        </is>
      </c>
      <c r="AE15" s="8">
        <f>IF(Q31="","",Q31)</f>
        <v/>
      </c>
      <c r="AF15" s="8">
        <f>IF(S25="","",S25)</f>
        <v/>
      </c>
      <c r="AG15" s="8" t="inlineStr">
        <is>
          <t>-</t>
        </is>
      </c>
      <c r="AH15" s="8">
        <f>IF(Q25="","",Q25)</f>
        <v/>
      </c>
      <c r="AI15" s="8">
        <f>IF(S27="","",S27)</f>
        <v/>
      </c>
      <c r="AJ15" s="8" t="inlineStr">
        <is>
          <t>-</t>
        </is>
      </c>
      <c r="AK15" s="8">
        <f>IF(Q27="","",Q27)</f>
        <v/>
      </c>
      <c r="AL15" s="271" t="n"/>
      <c r="AM15" s="275" t="n"/>
      <c r="AN15" s="275" t="n"/>
      <c r="AO15" s="275" t="n"/>
      <c r="AP15" s="275" t="n"/>
      <c r="AQ15" s="275" t="n"/>
      <c r="AR15" s="275" t="n"/>
      <c r="AS15" s="288" t="n"/>
      <c r="AV15" s="275" t="n"/>
      <c r="AW15" s="277" t="n"/>
      <c r="AX15" s="275" t="n"/>
      <c r="AZ15" s="5" t="n">
        <v>10</v>
      </c>
      <c r="BA15" s="6" t="n"/>
    </row>
    <row r="16" ht="46.9" customHeight="1" s="257">
      <c r="B16" s="117" t="n">
        <v>6</v>
      </c>
      <c r="C16" s="118">
        <f>AX16</f>
        <v/>
      </c>
      <c r="D16" s="263" t="n"/>
      <c r="E16" s="294">
        <f>IF(E17="","",IF(E17="☂","☂",IF(E17&gt;G17,"○",IF(E17=G17,"△","×"))))</f>
        <v/>
      </c>
      <c r="F16" s="278" t="n"/>
      <c r="G16" s="279" t="n"/>
      <c r="H16" s="123">
        <f>IF(H17="","",IF(H17="☂","☂",IF(H17&gt;J17,"○",IF(H17=J17,"△","×"))))</f>
        <v/>
      </c>
      <c r="I16" s="278" t="n"/>
      <c r="J16" s="279" t="n"/>
      <c r="K16" s="123">
        <f>IF(K17="","",IF(K17="☂","☂",IF(K17&gt;M17,"○",IF(K17=M17,"△","×"))))</f>
        <v/>
      </c>
      <c r="L16" s="278" t="n"/>
      <c r="M16" s="279" t="n"/>
      <c r="N16" s="299">
        <f>IF(N17="","",IF(N17="☂","☂",IF(N17&gt;P17,"○",IF(N17=P17,"△","×"))))</f>
        <v/>
      </c>
      <c r="O16" s="297" t="n"/>
      <c r="P16" s="298" t="n"/>
      <c r="Q16" s="299">
        <f>IF(Q17="","",IF(Q17="☂","☂",IF(Q17&gt;S17,"○",IF(Q17=S17,"△","×"))))</f>
        <v/>
      </c>
      <c r="R16" s="297" t="n"/>
      <c r="S16" s="298" t="n"/>
      <c r="T16" s="280" t="n"/>
      <c r="U16" s="281" t="n"/>
      <c r="V16" s="261" t="n"/>
      <c r="W16" s="282">
        <f>IF(W17="","",IF(W17="☂","☂",IF(W17&gt;Y17,"○",IF(W17=Y17,"△","×"))))</f>
        <v/>
      </c>
      <c r="X16" s="283" t="n"/>
      <c r="Y16" s="284" t="n"/>
      <c r="Z16" s="282">
        <f>IF(Z17="","",IF(Z17="☂","☂",IF(Z17&gt;AB17,"○",IF(Z17=AB17,"△","×"))))</f>
        <v/>
      </c>
      <c r="AA16" s="283" t="n"/>
      <c r="AB16" s="284" t="n"/>
      <c r="AC16" s="282">
        <f>IF(AC17="","",IF(AC17="☂","☂",IF(AC17&gt;AE17,"○",IF(AC17=AE17,"△","×"))))</f>
        <v/>
      </c>
      <c r="AD16" s="283" t="n"/>
      <c r="AE16" s="284" t="n"/>
      <c r="AF16" s="282">
        <f>IF(AF17="","",IF(AF17="☂","☂",IF(AF17&gt;AH17,"○",IF(AF17=AH17,"△","×"))))</f>
        <v/>
      </c>
      <c r="AG16" s="283" t="n"/>
      <c r="AH16" s="284" t="n"/>
      <c r="AI16" s="282">
        <f>IF(AI17="","",IF(AI17="☂","☂",IF(AI17&gt;AK17,"○",IF(AI17=AK17,"△","×"))))</f>
        <v/>
      </c>
      <c r="AJ16" s="283" t="n"/>
      <c r="AK16" s="284" t="n"/>
      <c r="AL16" s="285">
        <f>COUNTIF(E16:AK16,"○")</f>
        <v/>
      </c>
      <c r="AM16" s="286">
        <f>COUNTIF(E16:AK16,"△")</f>
        <v/>
      </c>
      <c r="AN16" s="286">
        <f>COUNTIF(E16:AK16,"×")</f>
        <v/>
      </c>
      <c r="AO16" s="286">
        <f>AL16*3+AM16*1</f>
        <v/>
      </c>
      <c r="AP16" s="286">
        <f>SUM(G17,J17,M17,P17,S17,V17,Y17,AB17,AK17)</f>
        <v/>
      </c>
      <c r="AQ16" s="286">
        <f>SUM(E17,H17,K17,N17,Q17,T17,W17,Z17,AI17)</f>
        <v/>
      </c>
      <c r="AR16" s="286">
        <f>$AY$21-AL16-AM16-AN16</f>
        <v/>
      </c>
      <c r="AS16" s="300">
        <f>IFERROR(_xlfn.RANK.EQ(AO16,$AO$6:$AO$27),"")</f>
        <v/>
      </c>
      <c r="AV16" s="213" t="n">
        <v>6</v>
      </c>
      <c r="AW16" s="209" t="n">
        <v>6</v>
      </c>
      <c r="AX16" s="210">
        <f>IFERROR(VLOOKUP(AW16,AZ$6:BA$20,2,0),"")</f>
        <v/>
      </c>
      <c r="AZ16" s="5" t="n">
        <v>11</v>
      </c>
      <c r="BA16" s="6" t="n"/>
    </row>
    <row r="17" ht="46.9" customHeight="1" s="257">
      <c r="B17" s="271" t="n"/>
      <c r="C17" s="272" t="n"/>
      <c r="D17" s="273" t="n"/>
      <c r="E17" s="63" t="n"/>
      <c r="F17" s="123" t="inlineStr">
        <is>
          <t>-</t>
        </is>
      </c>
      <c r="G17" s="64" t="n"/>
      <c r="H17" s="63" t="n"/>
      <c r="I17" s="123" t="inlineStr">
        <is>
          <t>-</t>
        </is>
      </c>
      <c r="J17" s="63" t="n"/>
      <c r="K17" s="63" t="n"/>
      <c r="L17" s="123" t="inlineStr">
        <is>
          <t>-</t>
        </is>
      </c>
      <c r="M17" s="63" t="n"/>
      <c r="N17" s="63" t="n"/>
      <c r="O17" s="123" t="inlineStr">
        <is>
          <t>-</t>
        </is>
      </c>
      <c r="P17" s="63" t="n"/>
      <c r="Q17" s="63" t="n"/>
      <c r="R17" s="123" t="inlineStr">
        <is>
          <t>-</t>
        </is>
      </c>
      <c r="S17" s="63" t="n"/>
      <c r="T17" s="272" t="n"/>
      <c r="U17" s="262" t="n"/>
      <c r="V17" s="273" t="n"/>
      <c r="W17" s="123">
        <f>IF(V19="","",V19)</f>
        <v/>
      </c>
      <c r="X17" s="123" t="inlineStr">
        <is>
          <t>-</t>
        </is>
      </c>
      <c r="Y17" s="123">
        <f>IF(T19="","",T19)</f>
        <v/>
      </c>
      <c r="Z17" s="123">
        <f>IF(V21="","",V21)</f>
        <v/>
      </c>
      <c r="AA17" s="123" t="inlineStr">
        <is>
          <t>-</t>
        </is>
      </c>
      <c r="AB17" s="123">
        <f>IF(T21="","",T21)</f>
        <v/>
      </c>
      <c r="AC17" s="123">
        <f>IF(V23="","",V23)</f>
        <v/>
      </c>
      <c r="AD17" s="123" t="inlineStr">
        <is>
          <t>-</t>
        </is>
      </c>
      <c r="AE17" s="123">
        <f>IF(T23="","",T23)</f>
        <v/>
      </c>
      <c r="AF17" s="123">
        <f>IF(V25="","",V25)</f>
        <v/>
      </c>
      <c r="AG17" s="123" t="inlineStr">
        <is>
          <t>-</t>
        </is>
      </c>
      <c r="AH17" s="123">
        <f>IF(T25="","",T25)</f>
        <v/>
      </c>
      <c r="AI17" s="123">
        <f>IF(V27="","",V27)</f>
        <v/>
      </c>
      <c r="AJ17" s="123" t="inlineStr">
        <is>
          <t>-</t>
        </is>
      </c>
      <c r="AK17" s="123">
        <f>IF(T27="","",T27)</f>
        <v/>
      </c>
      <c r="AL17" s="271" t="n"/>
      <c r="AM17" s="275" t="n"/>
      <c r="AN17" s="275" t="n"/>
      <c r="AO17" s="275" t="n"/>
      <c r="AP17" s="275" t="n"/>
      <c r="AQ17" s="275" t="n"/>
      <c r="AR17" s="275" t="n"/>
      <c r="AS17" s="288" t="n"/>
      <c r="AV17" s="275" t="n"/>
      <c r="AW17" s="277" t="n"/>
      <c r="AX17" s="275" t="n"/>
      <c r="AZ17" s="5" t="n">
        <v>12</v>
      </c>
      <c r="BA17" s="6" t="n"/>
    </row>
    <row r="18" ht="46.9" customHeight="1" s="257">
      <c r="B18" s="131" t="n">
        <v>7</v>
      </c>
      <c r="C18" s="132">
        <f>AX18</f>
        <v/>
      </c>
      <c r="D18" s="263" t="n"/>
      <c r="E18" s="289">
        <f>IF(E19="","",IF(E19="☂","☂",IF(E19&gt;G19,"○",IF(E19=G19,"△","×"))))</f>
        <v/>
      </c>
      <c r="F18" s="278" t="n"/>
      <c r="G18" s="279" t="n"/>
      <c r="H18" s="8">
        <f>IF(H19="","",IF(H19="☂","☂",IF(H19&gt;J19,"○",IF(H19=J19,"△","×"))))</f>
        <v/>
      </c>
      <c r="I18" s="278" t="n"/>
      <c r="J18" s="279" t="n"/>
      <c r="K18" s="8">
        <f>IF(K19="","",IF(K19="☂","☂",IF(K19&gt;M19,"○",IF(K19=M19,"△","×"))))</f>
        <v/>
      </c>
      <c r="L18" s="278" t="n"/>
      <c r="M18" s="279" t="n"/>
      <c r="N18" s="296">
        <f>IF(N19="","",IF(N19="☂","☂",IF(N19&gt;P19,"○",IF(N19=P19,"△","×"))))</f>
        <v/>
      </c>
      <c r="O18" s="297" t="n"/>
      <c r="P18" s="298" t="n"/>
      <c r="Q18" s="296">
        <f>IF(Q19="","",IF(Q19="☂","☂",IF(Q19&gt;S19,"○",IF(Q19=S19,"△","×"))))</f>
        <v/>
      </c>
      <c r="R18" s="297" t="n"/>
      <c r="S18" s="298" t="n"/>
      <c r="T18" s="296">
        <f>IF(T19="","",IF(T19="☂","☂",IF(T19&gt;V19,"○",IF(T19=V19,"△","×"))))</f>
        <v/>
      </c>
      <c r="U18" s="297" t="n"/>
      <c r="V18" s="298" t="n"/>
      <c r="W18" s="290" t="n"/>
      <c r="X18" s="281" t="n"/>
      <c r="Y18" s="261" t="n"/>
      <c r="Z18" s="291">
        <f>IF(Z19="","",IF(Z19="☂","☂",IF(Z19&gt;AB19,"○",IF(Z19=AB19,"△","×"))))</f>
        <v/>
      </c>
      <c r="AA18" s="283" t="n"/>
      <c r="AB18" s="284" t="n"/>
      <c r="AC18" s="291">
        <f>IF(AC19="","",IF(AC19="☂","☂",IF(AC19&gt;AE19,"○",IF(AC19=AE19,"△","×"))))</f>
        <v/>
      </c>
      <c r="AD18" s="283" t="n"/>
      <c r="AE18" s="284" t="n"/>
      <c r="AF18" s="291">
        <f>IF(AF19="","",IF(AF19="☂","☂",IF(AF19&gt;AH19,"○",IF(AF19=AH19,"△","×"))))</f>
        <v/>
      </c>
      <c r="AG18" s="283" t="n"/>
      <c r="AH18" s="284" t="n"/>
      <c r="AI18" s="291">
        <f>IF(AI19="","",IF(AI19="☂","☂",IF(AI19&gt;AK19,"○",IF(AI19=AK19,"△","×"))))</f>
        <v/>
      </c>
      <c r="AJ18" s="283" t="n"/>
      <c r="AK18" s="284" t="n"/>
      <c r="AL18" s="292">
        <f>COUNTIF(E18:AK18,"○")</f>
        <v/>
      </c>
      <c r="AM18" s="293">
        <f>COUNTIF(E18:AK18,"△")</f>
        <v/>
      </c>
      <c r="AN18" s="293">
        <f>COUNTIF(E18:AK18,"×")</f>
        <v/>
      </c>
      <c r="AO18" s="293">
        <f>AL18*3+AM18*1</f>
        <v/>
      </c>
      <c r="AP18" s="293">
        <f>SUM(G19,J19,M19,P19,S19,V19,Y19,AB19,AK19)</f>
        <v/>
      </c>
      <c r="AQ18" s="293">
        <f>SUM(E19,H19,K19,N19,Q19,T19,W19,Z19,AI19)</f>
        <v/>
      </c>
      <c r="AR18" s="293">
        <f>$AY$21-AL18-AM18-AN18</f>
        <v/>
      </c>
      <c r="AS18" s="287">
        <f>IFERROR(_xlfn.RANK.EQ(AO18,$AO$6:$AO$27),"")</f>
        <v/>
      </c>
      <c r="AV18" s="213" t="n">
        <v>7</v>
      </c>
      <c r="AW18" s="209" t="n"/>
      <c r="AX18" s="210">
        <f>IFERROR(VLOOKUP(AW18,AZ$6:BA$20,2,0),"")</f>
        <v/>
      </c>
      <c r="AZ18" s="5" t="n">
        <v>13</v>
      </c>
      <c r="BA18" s="6" t="n"/>
    </row>
    <row r="19" ht="46.9" customHeight="1" s="257">
      <c r="B19" s="271" t="n"/>
      <c r="C19" s="272" t="n"/>
      <c r="D19" s="273" t="n"/>
      <c r="E19" s="10" t="n"/>
      <c r="F19" s="8" t="inlineStr">
        <is>
          <t>-</t>
        </is>
      </c>
      <c r="G19" s="10" t="n"/>
      <c r="H19" s="10" t="n"/>
      <c r="I19" s="8" t="inlineStr">
        <is>
          <t>-</t>
        </is>
      </c>
      <c r="J19" s="10" t="n"/>
      <c r="K19" s="10" t="n"/>
      <c r="L19" s="8" t="inlineStr">
        <is>
          <t>-</t>
        </is>
      </c>
      <c r="M19" s="10" t="n"/>
      <c r="N19" s="10" t="n"/>
      <c r="O19" s="8" t="inlineStr">
        <is>
          <t>-</t>
        </is>
      </c>
      <c r="P19" s="10" t="n"/>
      <c r="Q19" s="10" t="n"/>
      <c r="R19" s="8" t="inlineStr">
        <is>
          <t>-</t>
        </is>
      </c>
      <c r="S19" s="10" t="n"/>
      <c r="T19" s="10" t="n"/>
      <c r="U19" s="8" t="inlineStr">
        <is>
          <t>-</t>
        </is>
      </c>
      <c r="V19" s="10" t="n"/>
      <c r="W19" s="272" t="n"/>
      <c r="X19" s="262" t="n"/>
      <c r="Y19" s="273" t="n"/>
      <c r="Z19" s="8">
        <f>IF(Y21="","",Y21)</f>
        <v/>
      </c>
      <c r="AA19" s="8" t="inlineStr">
        <is>
          <t>-</t>
        </is>
      </c>
      <c r="AB19" s="8">
        <f>IF(W21="","",W21)</f>
        <v/>
      </c>
      <c r="AC19" s="8">
        <f>IF(Y23="","",Y23)</f>
        <v/>
      </c>
      <c r="AD19" s="8" t="inlineStr">
        <is>
          <t>-</t>
        </is>
      </c>
      <c r="AE19" s="8">
        <f>IF(W23="","",W23)</f>
        <v/>
      </c>
      <c r="AF19" s="8">
        <f>IF(Y25="","",Y25)</f>
        <v/>
      </c>
      <c r="AG19" s="8" t="inlineStr">
        <is>
          <t>-</t>
        </is>
      </c>
      <c r="AH19" s="8">
        <f>IF(W25="","",W25)</f>
        <v/>
      </c>
      <c r="AI19" s="8">
        <f>IF(Y27="","",Y27)</f>
        <v/>
      </c>
      <c r="AJ19" s="8" t="inlineStr">
        <is>
          <t>-</t>
        </is>
      </c>
      <c r="AK19" s="8">
        <f>IF(W27="","",W27)</f>
        <v/>
      </c>
      <c r="AL19" s="271" t="n"/>
      <c r="AM19" s="275" t="n"/>
      <c r="AN19" s="275" t="n"/>
      <c r="AO19" s="275" t="n"/>
      <c r="AP19" s="275" t="n"/>
      <c r="AQ19" s="275" t="n"/>
      <c r="AR19" s="275" t="n"/>
      <c r="AS19" s="288" t="n"/>
      <c r="AV19" s="275" t="n"/>
      <c r="AW19" s="277" t="n"/>
      <c r="AX19" s="275" t="n"/>
      <c r="AZ19" s="5" t="n">
        <v>14</v>
      </c>
      <c r="BA19" s="6" t="n"/>
    </row>
    <row r="20" ht="46.9" customHeight="1" s="257">
      <c r="B20" s="179" t="n">
        <v>8</v>
      </c>
      <c r="C20" s="118">
        <f>AX20</f>
        <v/>
      </c>
      <c r="D20" s="263" t="n"/>
      <c r="E20" s="122">
        <f>IF(E21="","",IF(E21="☂","☂",IF(E21&gt;G21,"○",IF(E21=G21,"△","×"))))</f>
        <v/>
      </c>
      <c r="F20" s="278" t="n"/>
      <c r="G20" s="279" t="n"/>
      <c r="H20" s="123">
        <f>IF(H21="","",IF(H21="☂","☂",IF(H21&gt;J21,"○",IF(H21=J21,"△","×"))))</f>
        <v/>
      </c>
      <c r="I20" s="278" t="n"/>
      <c r="J20" s="279" t="n"/>
      <c r="K20" s="123">
        <f>IF(K21="","",IF(K21="☂","☂",IF(K21&gt;M21,"○",IF(K21=M21,"△","×"))))</f>
        <v/>
      </c>
      <c r="L20" s="278" t="n"/>
      <c r="M20" s="279" t="n"/>
      <c r="N20" s="299">
        <f>IF(N21="","",IF(N21="☂","☂",IF(N21&gt;P21,"○",IF(N21=P21,"△","×"))))</f>
        <v/>
      </c>
      <c r="O20" s="297" t="n"/>
      <c r="P20" s="298" t="n"/>
      <c r="Q20" s="299">
        <f>IF(Q21="","",IF(Q21="☂","☂",IF(Q21&gt;S21,"○",IF(Q21=S21,"△","×"))))</f>
        <v/>
      </c>
      <c r="R20" s="297" t="n"/>
      <c r="S20" s="298" t="n"/>
      <c r="T20" s="299">
        <f>IF(T21="","",IF(T21="☂","☂",IF(T21&gt;V21,"○",IF(T21=V21,"△","×"))))</f>
        <v/>
      </c>
      <c r="U20" s="297" t="n"/>
      <c r="V20" s="298" t="n"/>
      <c r="W20" s="299">
        <f>IF(W21="","",IF(W21="☂","☂",IF(W21&gt;Y21,"○",IF(W21=Y21,"△","×"))))</f>
        <v/>
      </c>
      <c r="X20" s="297" t="n"/>
      <c r="Y20" s="298" t="n"/>
      <c r="Z20" s="280" t="n"/>
      <c r="AA20" s="281" t="n"/>
      <c r="AB20" s="261" t="n"/>
      <c r="AC20" s="282">
        <f>IF(AC21="","",IF(AC21="☂","☂",IF(AC21&gt;AE21,"○",IF(AC21=AE21,"△","×"))))</f>
        <v/>
      </c>
      <c r="AD20" s="283" t="n"/>
      <c r="AE20" s="284" t="n"/>
      <c r="AF20" s="282">
        <f>IF(AF21="","",IF(AF21="☂","☂",IF(AF21&gt;AH21,"○",IF(AF21=AH21,"△","×"))))</f>
        <v/>
      </c>
      <c r="AG20" s="283" t="n"/>
      <c r="AH20" s="284" t="n"/>
      <c r="AI20" s="282">
        <f>IF(AI21="","",IF(AI21="☂","☂",IF(AI21&gt;AK21,"○",IF(AI21=AK21,"△","×"))))</f>
        <v/>
      </c>
      <c r="AJ20" s="283" t="n"/>
      <c r="AK20" s="284" t="n"/>
      <c r="AL20" s="285">
        <f>COUNTIF(E20:AK20,"○")</f>
        <v/>
      </c>
      <c r="AM20" s="286">
        <f>COUNTIF(E20:AK20,"△")</f>
        <v/>
      </c>
      <c r="AN20" s="286">
        <f>COUNTIF(E20:AK20,"×")</f>
        <v/>
      </c>
      <c r="AO20" s="286">
        <f>AL20*3+AM20*1</f>
        <v/>
      </c>
      <c r="AP20" s="286">
        <f>SUM(G21,J21,M21,P21,S21,V21,Y21,AB21,AK21)</f>
        <v/>
      </c>
      <c r="AQ20" s="286">
        <f>SUM(E21,H21,K21,N21,Q21,T21,W21,Z21,AI21)</f>
        <v/>
      </c>
      <c r="AR20" s="286">
        <f>$AY$21-AL20-AM20-AN20</f>
        <v/>
      </c>
      <c r="AS20" s="287">
        <f>IFERROR(_xlfn.RANK.EQ(AO20,$AO$6:$AO$27),"")</f>
        <v/>
      </c>
      <c r="AV20" s="213" t="n">
        <v>8</v>
      </c>
      <c r="AW20" s="209" t="n"/>
      <c r="AX20" s="210">
        <f>IFERROR(VLOOKUP(AW20,AZ$6:BA$20,2,0),"")</f>
        <v/>
      </c>
      <c r="AZ20" s="5" t="n">
        <v>15</v>
      </c>
      <c r="BA20" s="6" t="n"/>
    </row>
    <row r="21" ht="46.9" customHeight="1" s="257">
      <c r="B21" s="301" t="n"/>
      <c r="C21" s="272" t="n"/>
      <c r="D21" s="273" t="n"/>
      <c r="E21" s="62" t="n"/>
      <c r="F21" s="123" t="inlineStr">
        <is>
          <t>-</t>
        </is>
      </c>
      <c r="G21" s="63" t="n"/>
      <c r="H21" s="63" t="n"/>
      <c r="I21" s="123" t="inlineStr">
        <is>
          <t>-</t>
        </is>
      </c>
      <c r="J21" s="63" t="n"/>
      <c r="K21" s="63" t="n"/>
      <c r="L21" s="123" t="inlineStr">
        <is>
          <t>-</t>
        </is>
      </c>
      <c r="M21" s="63" t="n"/>
      <c r="N21" s="63" t="n"/>
      <c r="O21" s="123" t="inlineStr">
        <is>
          <t>-</t>
        </is>
      </c>
      <c r="P21" s="63" t="n"/>
      <c r="Q21" s="63" t="n"/>
      <c r="R21" s="123" t="inlineStr">
        <is>
          <t>-</t>
        </is>
      </c>
      <c r="S21" s="63" t="n"/>
      <c r="T21" s="63" t="n"/>
      <c r="U21" s="123" t="inlineStr">
        <is>
          <t>-</t>
        </is>
      </c>
      <c r="V21" s="63" t="n"/>
      <c r="W21" s="63" t="n"/>
      <c r="X21" s="123" t="inlineStr">
        <is>
          <t>-</t>
        </is>
      </c>
      <c r="Y21" s="63" t="n"/>
      <c r="Z21" s="272" t="n"/>
      <c r="AA21" s="262" t="n"/>
      <c r="AB21" s="273" t="n"/>
      <c r="AC21" s="123">
        <f>IF(AB23="","",AB23)</f>
        <v/>
      </c>
      <c r="AD21" s="123" t="inlineStr">
        <is>
          <t>-</t>
        </is>
      </c>
      <c r="AE21" s="123">
        <f>IF(Z23="","",Z23)</f>
        <v/>
      </c>
      <c r="AF21" s="123">
        <f>IF(AB25="","",AB25)</f>
        <v/>
      </c>
      <c r="AG21" s="123" t="inlineStr">
        <is>
          <t>-</t>
        </is>
      </c>
      <c r="AH21" s="123">
        <f>IF(Z25="","",Z25)</f>
        <v/>
      </c>
      <c r="AI21" s="123">
        <f>IF(AB27="","",AB27)</f>
        <v/>
      </c>
      <c r="AJ21" s="123" t="inlineStr">
        <is>
          <t>-</t>
        </is>
      </c>
      <c r="AK21" s="123">
        <f>IF(Z27="","",Z27)</f>
        <v/>
      </c>
      <c r="AL21" s="271" t="n"/>
      <c r="AM21" s="275" t="n"/>
      <c r="AN21" s="275" t="n"/>
      <c r="AO21" s="275" t="n"/>
      <c r="AP21" s="275" t="n"/>
      <c r="AQ21" s="275" t="n"/>
      <c r="AR21" s="275" t="n"/>
      <c r="AS21" s="288" t="n"/>
      <c r="AV21" s="275" t="n"/>
      <c r="AW21" s="277" t="n"/>
      <c r="AX21" s="275" t="n"/>
      <c r="AY21" s="1">
        <f>COUNTA(AW6:AW21)</f>
        <v/>
      </c>
    </row>
    <row r="22" hidden="1" ht="33.6" customHeight="1" s="257">
      <c r="B22" s="131" t="n">
        <v>9</v>
      </c>
      <c r="C22" s="132">
        <f>AX22</f>
        <v/>
      </c>
      <c r="D22" s="263" t="n"/>
      <c r="E22" s="289">
        <f>IF(E23="","",IF(E23="☂","☂",IF(E23&gt;G23,"○",IF(E23=G23,"△","×"))))</f>
        <v/>
      </c>
      <c r="F22" s="278" t="n"/>
      <c r="G22" s="279" t="n"/>
      <c r="H22" s="8">
        <f>IF(H23="","",IF(H23="☂","☂",IF(H23&gt;J23,"○",IF(H23=J23,"△","×"))))</f>
        <v/>
      </c>
      <c r="I22" s="278" t="n"/>
      <c r="J22" s="279" t="n"/>
      <c r="K22" s="8">
        <f>IF(K23="","",IF(K23="☂","☂",IF(K23&gt;M23,"○",IF(K23=M23,"△","×"))))</f>
        <v/>
      </c>
      <c r="L22" s="278" t="n"/>
      <c r="M22" s="279" t="n"/>
      <c r="N22" s="296">
        <f>IF(N23="","",IF(N23="☂","☂",IF(N23&gt;P23,"○",IF(N23=P23,"△","×"))))</f>
        <v/>
      </c>
      <c r="O22" s="297" t="n"/>
      <c r="P22" s="298" t="n"/>
      <c r="Q22" s="296">
        <f>IF(Q23="","",IF(Q23="☂","☂",IF(Q23&gt;S23,"○",IF(Q23=S23,"△","×"))))</f>
        <v/>
      </c>
      <c r="R22" s="297" t="n"/>
      <c r="S22" s="298" t="n"/>
      <c r="T22" s="296">
        <f>IF(T23="","",IF(T23="☂","☂",IF(T23&gt;V23,"○",IF(T23=V23,"△","×"))))</f>
        <v/>
      </c>
      <c r="U22" s="297" t="n"/>
      <c r="V22" s="298" t="n"/>
      <c r="W22" s="296">
        <f>IF(W23="","",IF(W23="☂","☂",IF(W23&gt;Y23,"○",IF(W23=Y23,"△","×"))))</f>
        <v/>
      </c>
      <c r="X22" s="297" t="n"/>
      <c r="Y22" s="298" t="n"/>
      <c r="Z22" s="296">
        <f>IF(Z23="","",IF(Z23="☂","☂",IF(Z23&gt;AB23,"○",IF(Z23=AB23,"△","×"))))</f>
        <v/>
      </c>
      <c r="AA22" s="297" t="n"/>
      <c r="AB22" s="298" t="n"/>
      <c r="AC22" s="302" t="n"/>
      <c r="AD22" s="303" t="n"/>
      <c r="AE22" s="304" t="n"/>
      <c r="AF22" s="296">
        <f>IF(AF23="","",IF(AF23="☂","☂",IF(AF23&gt;AH23,"○",IF(AF23=AH23,"△","×"))))</f>
        <v/>
      </c>
      <c r="AG22" s="297" t="n"/>
      <c r="AH22" s="298" t="n"/>
      <c r="AI22" s="305">
        <f>IF(AI23="","",IF(AI23="☂","☂",IF(AI23&gt;AK23,"○",IF(AI23=AK23,"△","×"))))</f>
        <v/>
      </c>
      <c r="AJ22" s="283" t="n"/>
      <c r="AK22" s="284" t="n"/>
      <c r="AL22" s="292">
        <f>COUNTIF(E22:AK22,"○")</f>
        <v/>
      </c>
      <c r="AM22" s="293">
        <f>COUNTIF(E22:AK22,"△")</f>
        <v/>
      </c>
      <c r="AN22" s="293">
        <f>COUNTIF(E22:AK22,"×")</f>
        <v/>
      </c>
      <c r="AO22" s="293">
        <f>AL22*3+AM22*1</f>
        <v/>
      </c>
      <c r="AP22" s="293">
        <f>SUM(G23,M23,P23,S23,V23,Y23,AB23,AK23)</f>
        <v/>
      </c>
      <c r="AQ22" s="293">
        <f>SUM(E23,K23,N23,Q23,T23,W23,Z23,AI23)</f>
        <v/>
      </c>
      <c r="AR22" s="293">
        <f>10-AL22-AM22-AN22</f>
        <v/>
      </c>
      <c r="AS22" s="287">
        <f>IFERROR(_xlfn.RANK.EQ(AO22,$AO$6:$AO$27),"")</f>
        <v/>
      </c>
      <c r="AV22" s="213" t="n">
        <v>9</v>
      </c>
      <c r="AW22" s="209" t="n"/>
      <c r="AX22" s="210">
        <f>IFERROR(VLOOKUP(AW22,AZ$6:BA$20,2,0),"")</f>
        <v/>
      </c>
    </row>
    <row r="23" hidden="1" ht="33.6" customHeight="1" s="257">
      <c r="B23" s="271" t="n"/>
      <c r="C23" s="272" t="n"/>
      <c r="D23" s="273" t="n"/>
      <c r="E23" s="9" t="n"/>
      <c r="F23" s="8" t="inlineStr">
        <is>
          <t>-</t>
        </is>
      </c>
      <c r="G23" s="10" t="n"/>
      <c r="H23" s="10" t="n"/>
      <c r="I23" s="8" t="inlineStr">
        <is>
          <t>-</t>
        </is>
      </c>
      <c r="J23" s="10" t="n"/>
      <c r="K23" s="10" t="n"/>
      <c r="L23" s="8" t="inlineStr">
        <is>
          <t>-</t>
        </is>
      </c>
      <c r="M23" s="10" t="n"/>
      <c r="N23" s="10" t="n"/>
      <c r="O23" s="8" t="inlineStr">
        <is>
          <t>-</t>
        </is>
      </c>
      <c r="P23" s="10" t="n"/>
      <c r="Q23" s="10" t="n"/>
      <c r="R23" s="8" t="inlineStr">
        <is>
          <t>-</t>
        </is>
      </c>
      <c r="S23" s="10" t="n"/>
      <c r="T23" s="10" t="n"/>
      <c r="U23" s="8" t="inlineStr">
        <is>
          <t>-</t>
        </is>
      </c>
      <c r="V23" s="10" t="n"/>
      <c r="W23" s="10" t="n"/>
      <c r="X23" s="8" t="inlineStr">
        <is>
          <t>-</t>
        </is>
      </c>
      <c r="Y23" s="10" t="n"/>
      <c r="Z23" s="10" t="n"/>
      <c r="AA23" s="8" t="inlineStr">
        <is>
          <t>-</t>
        </is>
      </c>
      <c r="AB23" s="10" t="n"/>
      <c r="AC23" s="306" t="n"/>
      <c r="AD23" s="283" t="n"/>
      <c r="AE23" s="284" t="n"/>
      <c r="AF23" s="274">
        <f>IF(AE25="","",AE25)</f>
        <v/>
      </c>
      <c r="AG23" s="8" t="inlineStr">
        <is>
          <t>-</t>
        </is>
      </c>
      <c r="AH23" s="274">
        <f>IF(AC25="","",AC25)</f>
        <v/>
      </c>
      <c r="AI23" s="16">
        <f>IF(AE27="","",AE27)</f>
        <v/>
      </c>
      <c r="AJ23" s="16" t="inlineStr">
        <is>
          <t>-</t>
        </is>
      </c>
      <c r="AK23" s="16">
        <f>IF(AC27="","",AC27)</f>
        <v/>
      </c>
      <c r="AL23" s="271" t="n"/>
      <c r="AM23" s="275" t="n"/>
      <c r="AN23" s="275" t="n"/>
      <c r="AO23" s="275" t="n"/>
      <c r="AP23" s="275" t="n"/>
      <c r="AQ23" s="275" t="n"/>
      <c r="AR23" s="275" t="n"/>
      <c r="AS23" s="288" t="n"/>
      <c r="AV23" s="275" t="n"/>
      <c r="AW23" s="277" t="n"/>
      <c r="AX23" s="275" t="n"/>
    </row>
    <row r="24" hidden="1" ht="33.6" customHeight="1" s="257">
      <c r="B24" s="174" t="n">
        <v>10</v>
      </c>
      <c r="C24" s="175">
        <f>AX24</f>
        <v/>
      </c>
      <c r="D24" s="263" t="n"/>
      <c r="E24" s="307">
        <f>IF(E25="","",IF(E25="☂","☂",IF(E25&gt;G25,"○",IF(E25=G25,"△","×"))))</f>
        <v/>
      </c>
      <c r="F24" s="278" t="n"/>
      <c r="G24" s="279" t="n"/>
      <c r="H24" s="39">
        <f>IF(H25="","",IF(H25="☂","☂",IF(H25&gt;J25,"○",IF(H25=J25,"△","×"))))</f>
        <v/>
      </c>
      <c r="I24" s="278" t="n"/>
      <c r="J24" s="279" t="n"/>
      <c r="K24" s="39">
        <f>IF(K25="","",IF(K25="☂","☂",IF(K25&gt;M25,"○",IF(K25=M25,"△","×"))))</f>
        <v/>
      </c>
      <c r="L24" s="278" t="n"/>
      <c r="M24" s="279" t="n"/>
      <c r="N24" s="308">
        <f>IF(N25="","",IF(N25="☂","☂",IF(N25&gt;P25,"○",IF(N25=P25,"△","×"))))</f>
        <v/>
      </c>
      <c r="O24" s="297" t="n"/>
      <c r="P24" s="298" t="n"/>
      <c r="Q24" s="308">
        <f>IF(Q25="","",IF(Q25="☂","☂",IF(Q25&gt;S25,"○",IF(Q25=S25,"△","×"))))</f>
        <v/>
      </c>
      <c r="R24" s="297" t="n"/>
      <c r="S24" s="298" t="n"/>
      <c r="T24" s="308">
        <f>IF(T25="","",IF(T25="☂","☂",IF(T25&gt;V25,"○",IF(T25=V25,"△","×"))))</f>
        <v/>
      </c>
      <c r="U24" s="297" t="n"/>
      <c r="V24" s="298" t="n"/>
      <c r="W24" s="308">
        <f>IF(W25="","",IF(W25="☂","☂",IF(W25&gt;Y25,"○",IF(W25=Y25,"△","×"))))</f>
        <v/>
      </c>
      <c r="X24" s="297" t="n"/>
      <c r="Y24" s="298" t="n"/>
      <c r="Z24" s="308">
        <f>IF(Z25="","",IF(Z25="☂","☂",IF(Z25&gt;AB25,"○",IF(Z25=AB25,"△","×"))))</f>
        <v/>
      </c>
      <c r="AA24" s="297" t="n"/>
      <c r="AB24" s="298" t="n"/>
      <c r="AC24" s="308">
        <f>IF(AC25="","",IF(AC25="☂","☂",IF(AC25&gt;AE25,"○",IF(AC25=AE25,"△","×"))))</f>
        <v/>
      </c>
      <c r="AD24" s="297" t="n"/>
      <c r="AE24" s="298" t="n"/>
      <c r="AF24" s="309" t="n"/>
      <c r="AG24" s="303" t="n"/>
      <c r="AH24" s="304" t="n"/>
      <c r="AI24" s="308">
        <f>IF(AI25="","",IF(AI25="☂","☂",IF(AI25&gt;AK25,"○",IF(AI25=AK25,"△","×"))))</f>
        <v/>
      </c>
      <c r="AJ24" s="297" t="n"/>
      <c r="AK24" s="298" t="n"/>
      <c r="AL24" s="310">
        <f>COUNTIF(E24:AK24,"○")</f>
        <v/>
      </c>
      <c r="AM24" s="311">
        <f>COUNTIF(E24:AK24,"△")</f>
        <v/>
      </c>
      <c r="AN24" s="311">
        <f>COUNTIF(E24:AK24,"×")</f>
        <v/>
      </c>
      <c r="AO24" s="311">
        <f>AL24*3+AM24*1</f>
        <v/>
      </c>
      <c r="AP24" s="311">
        <f>SUM(G25,M25,P25,S25,V25,Y25,AB25,AK25)</f>
        <v/>
      </c>
      <c r="AQ24" s="311">
        <f>SUM(E25,K25,N25,Q25,T25,W25,Z25,AI25)</f>
        <v/>
      </c>
      <c r="AR24" s="311">
        <f>10-AL24-AM24-AN24</f>
        <v/>
      </c>
      <c r="AS24" s="287">
        <f>IFERROR(_xlfn.RANK.EQ(AO24,$AO$6:$AO$27),"")</f>
        <v/>
      </c>
      <c r="AV24" s="213" t="n">
        <v>10</v>
      </c>
      <c r="AW24" s="209" t="n"/>
      <c r="AX24" s="210">
        <f>IFERROR(VLOOKUP(AW24,AZ$6:BA$20,2,0),"")</f>
        <v/>
      </c>
    </row>
    <row r="25" hidden="1" ht="33.6" customHeight="1" s="257">
      <c r="B25" s="271" t="n"/>
      <c r="C25" s="272" t="n"/>
      <c r="D25" s="273" t="n"/>
      <c r="E25" s="41" t="n"/>
      <c r="F25" s="39" t="inlineStr">
        <is>
          <t>-</t>
        </is>
      </c>
      <c r="G25" s="40" t="n"/>
      <c r="H25" s="40" t="n"/>
      <c r="I25" s="39" t="inlineStr">
        <is>
          <t>-</t>
        </is>
      </c>
      <c r="J25" s="40" t="n"/>
      <c r="K25" s="40" t="n"/>
      <c r="L25" s="39" t="inlineStr">
        <is>
          <t>-</t>
        </is>
      </c>
      <c r="M25" s="40" t="n"/>
      <c r="N25" s="40" t="n"/>
      <c r="O25" s="39" t="inlineStr">
        <is>
          <t>-</t>
        </is>
      </c>
      <c r="P25" s="40" t="n"/>
      <c r="Q25" s="40" t="n"/>
      <c r="R25" s="39" t="inlineStr">
        <is>
          <t>-</t>
        </is>
      </c>
      <c r="S25" s="40" t="n"/>
      <c r="T25" s="40" t="n"/>
      <c r="U25" s="39" t="inlineStr">
        <is>
          <t>-</t>
        </is>
      </c>
      <c r="V25" s="40" t="n"/>
      <c r="W25" s="40" t="n"/>
      <c r="X25" s="39" t="inlineStr">
        <is>
          <t>-</t>
        </is>
      </c>
      <c r="Y25" s="40" t="n"/>
      <c r="Z25" s="40" t="n"/>
      <c r="AA25" s="39" t="inlineStr">
        <is>
          <t>-</t>
        </is>
      </c>
      <c r="AB25" s="40" t="n"/>
      <c r="AC25" s="40" t="n"/>
      <c r="AD25" s="39" t="inlineStr">
        <is>
          <t>-</t>
        </is>
      </c>
      <c r="AE25" s="40" t="n"/>
      <c r="AF25" s="312" t="n"/>
      <c r="AG25" s="313" t="n"/>
      <c r="AH25" s="314" t="n"/>
      <c r="AI25" s="40">
        <f>IF(AH27="","",AH27)</f>
        <v/>
      </c>
      <c r="AJ25" s="39" t="inlineStr">
        <is>
          <t>-</t>
        </is>
      </c>
      <c r="AK25" s="42">
        <f>IF(AF27="","",AF27)</f>
        <v/>
      </c>
      <c r="AL25" s="271" t="n"/>
      <c r="AM25" s="275" t="n"/>
      <c r="AN25" s="275" t="n"/>
      <c r="AO25" s="275" t="n"/>
      <c r="AP25" s="275" t="n"/>
      <c r="AQ25" s="275" t="n"/>
      <c r="AR25" s="275" t="n"/>
      <c r="AS25" s="288" t="n"/>
      <c r="AV25" s="275" t="n"/>
      <c r="AW25" s="277" t="n"/>
      <c r="AX25" s="275" t="n"/>
    </row>
    <row r="26" hidden="1" ht="33.6" customHeight="1" s="257">
      <c r="B26" s="131" t="n">
        <v>11</v>
      </c>
      <c r="C26" s="163">
        <f>AX26</f>
        <v/>
      </c>
      <c r="D26" s="263" t="n"/>
      <c r="E26" s="315">
        <f>IF(E27="","",IF(E27="☂","☂",IF(E27&gt;G27,"○",IF(E27=G27,"△","×"))))</f>
        <v/>
      </c>
      <c r="F26" s="278" t="n"/>
      <c r="G26" s="279" t="n"/>
      <c r="H26" s="16">
        <f>IF(H27="","",IF(H27="☂","☂",IF(H27&gt;J27,"○",IF(H27=J27,"△","×"))))</f>
        <v/>
      </c>
      <c r="I26" s="278" t="n"/>
      <c r="J26" s="279" t="n"/>
      <c r="K26" s="16">
        <f>IF(K27="","",IF(K27="☂","☂",IF(K27&gt;M27,"○",IF(K27=M27,"△","×"))))</f>
        <v/>
      </c>
      <c r="L26" s="278" t="n"/>
      <c r="M26" s="279" t="n"/>
      <c r="N26" s="316">
        <f>IF(N27="","",IF(N27="☂","☂",IF(N27&gt;P27,"○",IF(N27=P27,"△","×"))))</f>
        <v/>
      </c>
      <c r="O26" s="297" t="n"/>
      <c r="P26" s="298" t="n"/>
      <c r="Q26" s="316">
        <f>IF(Q27="","",IF(Q27="☂","☂",IF(Q27&gt;S27,"○",IF(Q27=S27,"△","×"))))</f>
        <v/>
      </c>
      <c r="R26" s="297" t="n"/>
      <c r="S26" s="298" t="n"/>
      <c r="T26" s="316">
        <f>IF(T27="","",IF(T27="☂","☂",IF(T27&gt;V27,"○",IF(T27=V27,"△","×"))))</f>
        <v/>
      </c>
      <c r="U26" s="297" t="n"/>
      <c r="V26" s="298" t="n"/>
      <c r="W26" s="316">
        <f>IF(W27="","",IF(W27="☂","☂",IF(W27&gt;Y27,"○",IF(W27=Y27,"△","×"))))</f>
        <v/>
      </c>
      <c r="X26" s="297" t="n"/>
      <c r="Y26" s="298" t="n"/>
      <c r="Z26" s="316">
        <f>IF(Z27="","",IF(Z27="☂","☂",IF(Z27&gt;AB27,"○",IF(Z27=AB27,"△","×"))))</f>
        <v/>
      </c>
      <c r="AA26" s="297" t="n"/>
      <c r="AB26" s="298" t="n"/>
      <c r="AC26" s="316">
        <f>IF(AC27="","",IF(AC27="☂","☂",IF(AC27&gt;AE27,"○",IF(AC27=AE27,"△","×"))))</f>
        <v/>
      </c>
      <c r="AD26" s="297" t="n"/>
      <c r="AE26" s="298" t="n"/>
      <c r="AF26" s="316">
        <f>IF(AF27="","",IF(AF27="☂","☂",IF(AF27&gt;AH27,"○",IF(AF27=AH27,"△","×"))))</f>
        <v/>
      </c>
      <c r="AG26" s="297" t="n"/>
      <c r="AH26" s="298" t="n"/>
      <c r="AI26" s="317" t="n"/>
      <c r="AJ26" s="313" t="n"/>
      <c r="AK26" s="318" t="n"/>
      <c r="AL26" s="292">
        <f>COUNTIF(E26:AK26,"○")</f>
        <v/>
      </c>
      <c r="AM26" s="293">
        <f>COUNTIF(E26:AK26,"△")</f>
        <v/>
      </c>
      <c r="AN26" s="293">
        <f>COUNTIF(E26:AK26,"×")</f>
        <v/>
      </c>
      <c r="AO26" s="293">
        <f>AL26*3+AM26*1</f>
        <v/>
      </c>
      <c r="AP26" s="293">
        <f>SUM(G27,M27,P27,S27,V27,Y27,AB27,AK27)</f>
        <v/>
      </c>
      <c r="AQ26" s="14">
        <f>SUM(H27,K27,N27,Q27,T27,W27,Z27,AI27,#REF!)</f>
        <v/>
      </c>
      <c r="AR26" s="14">
        <f>10-AL26-AM26-AN26</f>
        <v/>
      </c>
      <c r="AS26" s="319">
        <f>IFERROR(_xlfn.RANK.EQ(AO26,$AO$6:$AO$27),"")</f>
        <v/>
      </c>
      <c r="AV26" s="213" t="n">
        <v>11</v>
      </c>
      <c r="AW26" s="209" t="n"/>
      <c r="AX26" s="210">
        <f>IFERROR(VLOOKUP(AW26,AZ$6:BA$20,2,0),"")</f>
        <v/>
      </c>
    </row>
    <row r="27" hidden="1" ht="33.6" customHeight="1" s="257" thickBot="1">
      <c r="B27" s="271" t="n"/>
      <c r="C27" s="272" t="n"/>
      <c r="D27" s="273" t="n"/>
      <c r="E27" s="13" t="n"/>
      <c r="F27" s="14" t="inlineStr">
        <is>
          <t>-</t>
        </is>
      </c>
      <c r="G27" s="15" t="n"/>
      <c r="H27" s="13" t="n"/>
      <c r="I27" s="14" t="inlineStr">
        <is>
          <t>-</t>
        </is>
      </c>
      <c r="J27" s="13" t="n"/>
      <c r="K27" s="13" t="n"/>
      <c r="L27" s="14" t="inlineStr">
        <is>
          <t>-</t>
        </is>
      </c>
      <c r="M27" s="13" t="n"/>
      <c r="N27" s="13" t="n"/>
      <c r="O27" s="14" t="inlineStr">
        <is>
          <t>-</t>
        </is>
      </c>
      <c r="P27" s="13" t="n"/>
      <c r="Q27" s="13" t="n"/>
      <c r="R27" s="14" t="inlineStr">
        <is>
          <t>-</t>
        </is>
      </c>
      <c r="S27" s="13" t="n"/>
      <c r="T27" s="13" t="n"/>
      <c r="U27" s="14" t="inlineStr">
        <is>
          <t>-</t>
        </is>
      </c>
      <c r="V27" s="13" t="n"/>
      <c r="W27" s="13" t="n"/>
      <c r="X27" s="14" t="inlineStr">
        <is>
          <t>-</t>
        </is>
      </c>
      <c r="Y27" s="13" t="n"/>
      <c r="Z27" s="13" t="n"/>
      <c r="AA27" s="14" t="inlineStr">
        <is>
          <t>-</t>
        </is>
      </c>
      <c r="AB27" s="13" t="n"/>
      <c r="AC27" s="13" t="n"/>
      <c r="AD27" s="14" t="inlineStr">
        <is>
          <t>-</t>
        </is>
      </c>
      <c r="AE27" s="13" t="n"/>
      <c r="AF27" s="320" t="n"/>
      <c r="AG27" s="14" t="inlineStr">
        <is>
          <t>-</t>
        </is>
      </c>
      <c r="AH27" s="320" t="n"/>
      <c r="AI27" s="321" t="n"/>
      <c r="AJ27" s="322" t="n"/>
      <c r="AK27" s="323" t="n"/>
      <c r="AL27" s="271" t="n"/>
      <c r="AM27" s="275" t="n"/>
      <c r="AN27" s="275" t="n"/>
      <c r="AO27" s="275" t="n"/>
      <c r="AP27" s="275" t="n"/>
      <c r="AQ27" s="324" t="n"/>
      <c r="AR27" s="324" t="n"/>
      <c r="AS27" s="325" t="n"/>
      <c r="AV27" s="275" t="n"/>
      <c r="AW27" s="277" t="n"/>
      <c r="AX27" s="275" t="n"/>
    </row>
    <row r="28" ht="6.75" customHeight="1" s="257"/>
  </sheetData>
  <mergeCells count="289">
    <mergeCell ref="AP18:AP19"/>
    <mergeCell ref="AC5:AE5"/>
    <mergeCell ref="B12:B13"/>
    <mergeCell ref="AC14:AE14"/>
    <mergeCell ref="AF6:AH6"/>
    <mergeCell ref="Z18:AB18"/>
    <mergeCell ref="Q4:S4"/>
    <mergeCell ref="T16:V17"/>
    <mergeCell ref="AC4:AE4"/>
    <mergeCell ref="AV18:AV19"/>
    <mergeCell ref="B14:B15"/>
    <mergeCell ref="Q6:S6"/>
    <mergeCell ref="C8:D9"/>
    <mergeCell ref="W16:Y16"/>
    <mergeCell ref="AV14:AV15"/>
    <mergeCell ref="AF20:AH20"/>
    <mergeCell ref="AF5:AH5"/>
    <mergeCell ref="H22:J22"/>
    <mergeCell ref="AF14:AH14"/>
    <mergeCell ref="Z5:AB5"/>
    <mergeCell ref="AQ8:AQ9"/>
    <mergeCell ref="AZ5:BA5"/>
    <mergeCell ref="T22:V22"/>
    <mergeCell ref="E26:G26"/>
    <mergeCell ref="AS8:AS9"/>
    <mergeCell ref="AX12:AX13"/>
    <mergeCell ref="B6:B7"/>
    <mergeCell ref="W8:Y8"/>
    <mergeCell ref="N12:P13"/>
    <mergeCell ref="AR12:AR13"/>
    <mergeCell ref="AR24:AR25"/>
    <mergeCell ref="AO10:AO11"/>
    <mergeCell ref="E16:G16"/>
    <mergeCell ref="T6:V6"/>
    <mergeCell ref="AV6:AV7"/>
    <mergeCell ref="AQ10:AQ11"/>
    <mergeCell ref="AW26:AW27"/>
    <mergeCell ref="H5:J5"/>
    <mergeCell ref="AS16:AS17"/>
    <mergeCell ref="E18:G18"/>
    <mergeCell ref="N4:P4"/>
    <mergeCell ref="Z6:AB6"/>
    <mergeCell ref="K16:M16"/>
    <mergeCell ref="AC16:AE16"/>
    <mergeCell ref="AP16:AP17"/>
    <mergeCell ref="T20:V20"/>
    <mergeCell ref="AX14:AX15"/>
    <mergeCell ref="C20:D21"/>
    <mergeCell ref="T14:V14"/>
    <mergeCell ref="AS18:AS19"/>
    <mergeCell ref="AI26:AK27"/>
    <mergeCell ref="K5:M5"/>
    <mergeCell ref="AM22:AM23"/>
    <mergeCell ref="T4:V4"/>
    <mergeCell ref="AC18:AE18"/>
    <mergeCell ref="AR18:AR19"/>
    <mergeCell ref="AM18:AM19"/>
    <mergeCell ref="Z26:AB26"/>
    <mergeCell ref="K20:M20"/>
    <mergeCell ref="AV16:AV17"/>
    <mergeCell ref="C22:D23"/>
    <mergeCell ref="B26:B27"/>
    <mergeCell ref="AF4:AH4"/>
    <mergeCell ref="E20:G20"/>
    <mergeCell ref="W20:Y20"/>
    <mergeCell ref="Q5:S5"/>
    <mergeCell ref="C12:D13"/>
    <mergeCell ref="AF10:AH10"/>
    <mergeCell ref="AQ20:AQ21"/>
    <mergeCell ref="N18:P18"/>
    <mergeCell ref="K22:M22"/>
    <mergeCell ref="AN24:AN25"/>
    <mergeCell ref="H8:J9"/>
    <mergeCell ref="AV8:AV9"/>
    <mergeCell ref="W22:Y22"/>
    <mergeCell ref="N8:P8"/>
    <mergeCell ref="T26:V26"/>
    <mergeCell ref="AN20:AN21"/>
    <mergeCell ref="AI4:AK4"/>
    <mergeCell ref="AC20:AE20"/>
    <mergeCell ref="AP20:AP21"/>
    <mergeCell ref="K12:M12"/>
    <mergeCell ref="Z8:AB8"/>
    <mergeCell ref="AL26:AL27"/>
    <mergeCell ref="AQ22:AQ23"/>
    <mergeCell ref="W12:Y12"/>
    <mergeCell ref="AN26:AN27"/>
    <mergeCell ref="H16:J16"/>
    <mergeCell ref="AW24:AW25"/>
    <mergeCell ref="Q22:S22"/>
    <mergeCell ref="K8:M8"/>
    <mergeCell ref="AV10:AV11"/>
    <mergeCell ref="AQ14:AQ15"/>
    <mergeCell ref="N10:P10"/>
    <mergeCell ref="AN22:AN23"/>
    <mergeCell ref="K14:M14"/>
    <mergeCell ref="AP22:AP23"/>
    <mergeCell ref="T8:V8"/>
    <mergeCell ref="Q14:S15"/>
    <mergeCell ref="AX16:AX17"/>
    <mergeCell ref="AL12:AL13"/>
    <mergeCell ref="AF8:AH8"/>
    <mergeCell ref="AN12:AN13"/>
    <mergeCell ref="AW14:AW15"/>
    <mergeCell ref="AP6:AP7"/>
    <mergeCell ref="AF24:AH25"/>
    <mergeCell ref="AO14:AO15"/>
    <mergeCell ref="AR6:AR7"/>
    <mergeCell ref="AM10:AM11"/>
    <mergeCell ref="AL18:AL19"/>
    <mergeCell ref="AR20:AR21"/>
    <mergeCell ref="AC6:AE6"/>
    <mergeCell ref="AW10:AW11"/>
    <mergeCell ref="AW16:AW17"/>
    <mergeCell ref="AR16:AR17"/>
    <mergeCell ref="B5:D5"/>
    <mergeCell ref="C24:D25"/>
    <mergeCell ref="K4:M4"/>
    <mergeCell ref="AL14:AL15"/>
    <mergeCell ref="AF22:AH22"/>
    <mergeCell ref="AN14:AN15"/>
    <mergeCell ref="AF18:AH18"/>
    <mergeCell ref="W4:Y4"/>
    <mergeCell ref="K18:M18"/>
    <mergeCell ref="AI8:AK8"/>
    <mergeCell ref="N20:P20"/>
    <mergeCell ref="Q16:S16"/>
    <mergeCell ref="AX20:AX21"/>
    <mergeCell ref="H20:J20"/>
    <mergeCell ref="E24:G24"/>
    <mergeCell ref="W10:Y10"/>
    <mergeCell ref="W24:Y24"/>
    <mergeCell ref="T5:V5"/>
    <mergeCell ref="C10:D11"/>
    <mergeCell ref="Z20:AB21"/>
    <mergeCell ref="Q24:S24"/>
    <mergeCell ref="AI10:AK10"/>
    <mergeCell ref="N22:P22"/>
    <mergeCell ref="E8:G8"/>
    <mergeCell ref="AM8:AM9"/>
    <mergeCell ref="Q18:S18"/>
    <mergeCell ref="H4:J4"/>
    <mergeCell ref="AQ24:AQ25"/>
    <mergeCell ref="AV20:AV21"/>
    <mergeCell ref="AX22:AX23"/>
    <mergeCell ref="AS24:AS25"/>
    <mergeCell ref="AO8:AO9"/>
    <mergeCell ref="W18:Y19"/>
    <mergeCell ref="C26:D27"/>
    <mergeCell ref="B16:B17"/>
    <mergeCell ref="Q8:S8"/>
    <mergeCell ref="AV12:AV13"/>
    <mergeCell ref="W26:Y26"/>
    <mergeCell ref="AS20:AS21"/>
    <mergeCell ref="H6:J6"/>
    <mergeCell ref="AP24:AP25"/>
    <mergeCell ref="E10:G10"/>
    <mergeCell ref="AV22:AV23"/>
    <mergeCell ref="AQ26:AQ27"/>
    <mergeCell ref="AS26:AS27"/>
    <mergeCell ref="B18:B19"/>
    <mergeCell ref="Q10:S10"/>
    <mergeCell ref="AP8:AP9"/>
    <mergeCell ref="AO16:AO17"/>
    <mergeCell ref="AR8:AR9"/>
    <mergeCell ref="N14:P14"/>
    <mergeCell ref="AS22:AS23"/>
    <mergeCell ref="B8:B9"/>
    <mergeCell ref="AP26:AP27"/>
    <mergeCell ref="T12:V12"/>
    <mergeCell ref="AO12:AO13"/>
    <mergeCell ref="AL16:AL17"/>
    <mergeCell ref="AQ12:AQ13"/>
    <mergeCell ref="AF12:AH12"/>
    <mergeCell ref="AN16:AN17"/>
    <mergeCell ref="AI20:AK20"/>
    <mergeCell ref="AP10:AP11"/>
    <mergeCell ref="AS6:AS7"/>
    <mergeCell ref="AO18:AO19"/>
    <mergeCell ref="AR10:AR11"/>
    <mergeCell ref="AW6:AW7"/>
    <mergeCell ref="AS12:AS13"/>
    <mergeCell ref="AI22:AK22"/>
    <mergeCell ref="AF26:AH26"/>
    <mergeCell ref="AN18:AN19"/>
    <mergeCell ref="AW5:AX5"/>
    <mergeCell ref="AI12:AK12"/>
    <mergeCell ref="AS14:AS15"/>
    <mergeCell ref="H24:J24"/>
    <mergeCell ref="Z10:AB10"/>
    <mergeCell ref="E22:G22"/>
    <mergeCell ref="Z24:AB24"/>
    <mergeCell ref="H18:J18"/>
    <mergeCell ref="AM20:AM21"/>
    <mergeCell ref="W14:Y14"/>
    <mergeCell ref="C6:D7"/>
    <mergeCell ref="AI5:AK5"/>
    <mergeCell ref="AI6:AK6"/>
    <mergeCell ref="AI14:AK14"/>
    <mergeCell ref="T18:V18"/>
    <mergeCell ref="E12:G12"/>
    <mergeCell ref="AV24:AV25"/>
    <mergeCell ref="B20:B21"/>
    <mergeCell ref="AX24:AX25"/>
    <mergeCell ref="AL20:AL21"/>
    <mergeCell ref="H26:J26"/>
    <mergeCell ref="AX18:AX19"/>
    <mergeCell ref="Q12:S12"/>
    <mergeCell ref="AO22:AO23"/>
    <mergeCell ref="K24:M24"/>
    <mergeCell ref="W6:Y6"/>
    <mergeCell ref="H10:J10"/>
    <mergeCell ref="AR22:AR23"/>
    <mergeCell ref="E14:G14"/>
    <mergeCell ref="AV26:AV27"/>
    <mergeCell ref="B22:B23"/>
    <mergeCell ref="AL22:AL23"/>
    <mergeCell ref="AP12:AP13"/>
    <mergeCell ref="E4:G4"/>
    <mergeCell ref="AW8:AW9"/>
    <mergeCell ref="K26:M26"/>
    <mergeCell ref="AL6:AL7"/>
    <mergeCell ref="AN6:AN7"/>
    <mergeCell ref="AM14:AM15"/>
    <mergeCell ref="AM26:AM27"/>
    <mergeCell ref="AI24:AK24"/>
    <mergeCell ref="AQ16:AQ17"/>
    <mergeCell ref="AF16:AH16"/>
    <mergeCell ref="AX6:AX7"/>
    <mergeCell ref="AS10:AS11"/>
    <mergeCell ref="AP14:AP15"/>
    <mergeCell ref="AC24:AE24"/>
    <mergeCell ref="AR14:AR15"/>
    <mergeCell ref="Z22:AB22"/>
    <mergeCell ref="C16:D17"/>
    <mergeCell ref="K10:M11"/>
    <mergeCell ref="Q26:S26"/>
    <mergeCell ref="AC8:AE8"/>
    <mergeCell ref="N5:P5"/>
    <mergeCell ref="Z12:AB12"/>
    <mergeCell ref="AC26:AE26"/>
    <mergeCell ref="AI16:AK16"/>
    <mergeCell ref="AW18:AW19"/>
    <mergeCell ref="AC10:AE10"/>
    <mergeCell ref="Z14:AB14"/>
    <mergeCell ref="AM24:AM25"/>
    <mergeCell ref="AO24:AO25"/>
    <mergeCell ref="AI18:AK18"/>
    <mergeCell ref="Z4:AB4"/>
    <mergeCell ref="AQ18:AQ19"/>
    <mergeCell ref="AW20:AW21"/>
    <mergeCell ref="H12:J12"/>
    <mergeCell ref="B10:B11"/>
    <mergeCell ref="AO20:AO21"/>
    <mergeCell ref="B24:B25"/>
    <mergeCell ref="N6:P6"/>
    <mergeCell ref="AL24:AL25"/>
    <mergeCell ref="N24:P24"/>
    <mergeCell ref="AO26:AO27"/>
    <mergeCell ref="AM6:AM7"/>
    <mergeCell ref="H14:J14"/>
    <mergeCell ref="AL8:AL9"/>
    <mergeCell ref="C18:D19"/>
    <mergeCell ref="AW22:AW23"/>
    <mergeCell ref="AN8:AN9"/>
    <mergeCell ref="K6:M6"/>
    <mergeCell ref="AM16:AM17"/>
    <mergeCell ref="AX8:AX9"/>
    <mergeCell ref="C14:D15"/>
    <mergeCell ref="AW12:AW13"/>
    <mergeCell ref="AM12:AM13"/>
    <mergeCell ref="AO6:AO7"/>
    <mergeCell ref="N26:P26"/>
    <mergeCell ref="AL10:AL11"/>
    <mergeCell ref="T24:V24"/>
    <mergeCell ref="AQ6:AQ7"/>
    <mergeCell ref="AN10:AN11"/>
    <mergeCell ref="E6:G7"/>
    <mergeCell ref="AR26:AR27"/>
    <mergeCell ref="N16:P16"/>
    <mergeCell ref="AX10:AX11"/>
    <mergeCell ref="E5:G5"/>
    <mergeCell ref="W5:Y5"/>
    <mergeCell ref="AC22:AE23"/>
    <mergeCell ref="AC12:AE12"/>
    <mergeCell ref="Z16:AB16"/>
    <mergeCell ref="Q20:S20"/>
    <mergeCell ref="AX26:AX27"/>
    <mergeCell ref="T10:V10"/>
  </mergeCells>
  <conditionalFormatting sqref="AS6:AS27">
    <cfRule type="cellIs" priority="4" operator="equal" dxfId="11">
      <formula>2</formula>
    </cfRule>
    <cfRule type="cellIs" priority="5" operator="equal" dxfId="10">
      <formula>1</formula>
    </cfRule>
  </conditionalFormatting>
  <pageMargins left="0.2362204724409449" right="0.2362204724409449" top="0.3543307086614173" bottom="0.3543307086614173" header="0.3149606299212598" footer="0.3149606299212598"/>
  <pageSetup orientation="landscape" paperSize="9" scale="57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42"/>
  <sheetViews>
    <sheetView showGridLines="0" zoomScale="85" zoomScaleNormal="85" workbookViewId="0">
      <pane xSplit="1" ySplit="3" topLeftCell="B4" activePane="bottomRight" state="frozen"/>
      <selection pane="bottomRight" activeCell="B1" sqref="B1"/>
      <selection pane="bottomLeft" activeCell="A4" sqref="A4"/>
      <selection pane="topRight" activeCell="B1" sqref="B1"/>
    </sheetView>
  </sheetViews>
  <sheetFormatPr baseColWidth="8" defaultColWidth="0" defaultRowHeight="18" zeroHeight="1"/>
  <cols>
    <col width="2.44140625" customWidth="1" style="17" min="1" max="2"/>
    <col width="8" customWidth="1" style="49" min="3" max="5"/>
    <col width="2.5" customWidth="1" style="257" min="4" max="4"/>
    <col width="11" customWidth="1" style="17" min="6" max="6"/>
    <col width="2.44140625" customWidth="1" style="17" min="7" max="11"/>
    <col width="8" customWidth="1" style="257" min="9" max="9"/>
    <col width="2.5" customWidth="1" style="257" min="10" max="10"/>
    <col width="11" customWidth="1" style="17" min="12" max="12"/>
    <col width="2.44140625" customWidth="1" style="17" min="13" max="17"/>
    <col width="8" customWidth="1" style="257" min="15" max="15"/>
    <col width="2.5" customWidth="1" style="257" min="16" max="16"/>
    <col width="11" customWidth="1" style="17" min="18" max="18"/>
    <col width="2.44140625" customWidth="1" style="17" min="19" max="23"/>
    <col width="8" customWidth="1" style="257" min="21" max="21"/>
    <col width="2.5" customWidth="1" style="257" min="22" max="22"/>
    <col width="11" customWidth="1" style="17" min="24" max="24"/>
    <col width="0.6640625" customWidth="1" style="17" min="25" max="25"/>
    <col hidden="1" width="8.88671875" customWidth="1" style="17" min="26" max="16384"/>
  </cols>
  <sheetData>
    <row r="1" ht="18.75" customHeight="1" s="257" thickBot="1">
      <c r="A1" s="239" t="inlineStr">
        <is>
          <t>R8朝野球日程表</t>
        </is>
      </c>
      <c r="T1" s="240" t="n">
        <v>2026</v>
      </c>
      <c r="U1" s="326" t="n"/>
      <c r="V1" s="326" t="n"/>
      <c r="W1" s="238" t="inlineStr">
        <is>
          <t>年</t>
        </is>
      </c>
      <c r="X1" s="238" t="n"/>
    </row>
    <row r="2" ht="16.15" customHeight="1" s="257">
      <c r="A2" s="327" t="inlineStr">
        <is>
          <t>5月</t>
        </is>
      </c>
      <c r="B2" s="328" t="n"/>
      <c r="C2" s="328" t="n"/>
      <c r="D2" s="328" t="n"/>
      <c r="E2" s="328" t="n"/>
      <c r="F2" s="329" t="n"/>
      <c r="G2" s="327" t="inlineStr">
        <is>
          <t>6月</t>
        </is>
      </c>
      <c r="H2" s="328" t="n"/>
      <c r="I2" s="328" t="n"/>
      <c r="J2" s="328" t="n"/>
      <c r="K2" s="328" t="n"/>
      <c r="L2" s="329" t="n"/>
      <c r="M2" s="327" t="inlineStr">
        <is>
          <t>7月</t>
        </is>
      </c>
      <c r="N2" s="328" t="n"/>
      <c r="O2" s="328" t="n"/>
      <c r="P2" s="328" t="n"/>
      <c r="Q2" s="328" t="n"/>
      <c r="R2" s="329" t="n"/>
      <c r="S2" s="246" t="inlineStr">
        <is>
          <t>8月</t>
        </is>
      </c>
      <c r="T2" s="328" t="n"/>
      <c r="U2" s="328" t="n"/>
      <c r="V2" s="328" t="n"/>
      <c r="W2" s="328" t="n"/>
      <c r="X2" s="329" t="n"/>
    </row>
    <row r="3" ht="16.15" customHeight="1" s="257">
      <c r="A3" s="53" t="inlineStr">
        <is>
          <t>日</t>
        </is>
      </c>
      <c r="B3" s="236" t="inlineStr">
        <is>
          <t>曜日</t>
        </is>
      </c>
      <c r="C3" s="236" t="inlineStr">
        <is>
          <t>対戦チーム</t>
        </is>
      </c>
      <c r="D3" s="278" t="n"/>
      <c r="E3" s="279" t="n"/>
      <c r="F3" s="241" t="inlineStr">
        <is>
          <t>審判</t>
        </is>
      </c>
      <c r="G3" s="53" t="inlineStr">
        <is>
          <t>日</t>
        </is>
      </c>
      <c r="H3" s="236" t="inlineStr">
        <is>
          <t>曜日</t>
        </is>
      </c>
      <c r="I3" s="236" t="inlineStr">
        <is>
          <t>対戦チーム</t>
        </is>
      </c>
      <c r="J3" s="278" t="n"/>
      <c r="K3" s="279" t="n"/>
      <c r="L3" s="58" t="inlineStr">
        <is>
          <t>審判</t>
        </is>
      </c>
      <c r="M3" s="53" t="inlineStr">
        <is>
          <t>日</t>
        </is>
      </c>
      <c r="N3" s="236" t="inlineStr">
        <is>
          <t>曜日</t>
        </is>
      </c>
      <c r="O3" s="236" t="inlineStr">
        <is>
          <t>対戦チーム</t>
        </is>
      </c>
      <c r="P3" s="278" t="n"/>
      <c r="Q3" s="279" t="n"/>
      <c r="R3" s="58" t="inlineStr">
        <is>
          <t>審判</t>
        </is>
      </c>
      <c r="S3" s="73" t="inlineStr">
        <is>
          <t>日</t>
        </is>
      </c>
      <c r="T3" s="236" t="inlineStr">
        <is>
          <t>曜日</t>
        </is>
      </c>
      <c r="U3" s="236" t="inlineStr">
        <is>
          <t>対戦チーム</t>
        </is>
      </c>
      <c r="V3" s="278" t="n"/>
      <c r="W3" s="279" t="n"/>
      <c r="X3" s="241" t="inlineStr">
        <is>
          <t>審判</t>
        </is>
      </c>
    </row>
    <row r="4" ht="16.15" customHeight="1" s="257">
      <c r="A4" s="330" t="n">
        <v>45047</v>
      </c>
      <c r="B4" s="69" t="inlineStr">
        <is>
          <t>金</t>
        </is>
      </c>
      <c r="C4" s="331" t="n"/>
      <c r="D4" s="20" t="inlineStr">
        <is>
          <t>ー</t>
        </is>
      </c>
      <c r="E4" s="332" t="n"/>
      <c r="F4" s="333" t="n"/>
      <c r="G4" s="330" t="n">
        <v>45078</v>
      </c>
      <c r="H4" s="70" t="inlineStr">
        <is>
          <t>月</t>
        </is>
      </c>
      <c r="I4" s="334" t="n"/>
      <c r="J4" s="47" t="inlineStr">
        <is>
          <t>ー</t>
        </is>
      </c>
      <c r="K4" s="335" t="n"/>
      <c r="L4" s="333" t="n"/>
      <c r="M4" s="330" t="n">
        <v>45108</v>
      </c>
      <c r="N4" s="69" t="inlineStr">
        <is>
          <t>水</t>
        </is>
      </c>
      <c r="O4" s="336">
        <f>IFERROR(VLOOKUP(3,リーグ勝敗表!$AZ$6:$BA$11,2,0),"3")</f>
        <v/>
      </c>
      <c r="P4" s="84" t="inlineStr">
        <is>
          <t>ー</t>
        </is>
      </c>
      <c r="Q4" s="337">
        <f>IFERROR(VLOOKUP(4,リーグ勝敗表!$AZ$6:$BA$11,2,0),"4")</f>
        <v/>
      </c>
      <c r="R4" s="338">
        <f>IFERROR(VLOOKUP(1,リーグ勝敗表!$AZ$6:$BA$11,2,0),"1")&amp;"-"&amp;IFERROR(VLOOKUP(5,リーグ勝敗表!$AZ$6:$BA$11,2,0),"5")</f>
        <v/>
      </c>
      <c r="S4" s="339" t="n">
        <v>45139</v>
      </c>
      <c r="T4" s="69" t="inlineStr">
        <is>
          <t>土</t>
        </is>
      </c>
      <c r="U4" s="331" t="n"/>
      <c r="V4" s="20" t="inlineStr">
        <is>
          <t>ー</t>
        </is>
      </c>
      <c r="W4" s="332" t="n"/>
      <c r="X4" s="333" t="n"/>
    </row>
    <row r="5" ht="16.15" customHeight="1" s="257">
      <c r="A5" s="330" t="n">
        <v>45048</v>
      </c>
      <c r="B5" s="69" t="inlineStr">
        <is>
          <t>土</t>
        </is>
      </c>
      <c r="C5" s="340" t="n"/>
      <c r="D5" s="50" t="inlineStr">
        <is>
          <t>ー</t>
        </is>
      </c>
      <c r="E5" s="341" t="n"/>
      <c r="F5" s="333" t="n"/>
      <c r="G5" s="330" t="n">
        <v>45079</v>
      </c>
      <c r="H5" s="70" t="inlineStr">
        <is>
          <t>火</t>
        </is>
      </c>
      <c r="I5" s="340">
        <f>IFERROR(VLOOKUP(1,リーグ勝敗表!$AZ$6:$BA$11,2,0),"1")</f>
        <v/>
      </c>
      <c r="J5" s="47" t="inlineStr">
        <is>
          <t>ー</t>
        </is>
      </c>
      <c r="K5" s="341">
        <f>IFERROR(VLOOKUP(6,リーグ勝敗表!$AZ$6:$BA$11,2,0),"6")</f>
        <v/>
      </c>
      <c r="L5" s="333">
        <f>IFERROR(VLOOKUP(2,リーグ勝敗表!$AZ$6:$BA$11,2,0),"2")&amp;"-"&amp;IFERROR(VLOOKUP(4,リーグ勝敗表!$AZ$6:$BA$11,2,0),"4")</f>
        <v/>
      </c>
      <c r="M5" s="330" t="n">
        <v>45109</v>
      </c>
      <c r="N5" s="69" t="inlineStr">
        <is>
          <t>木</t>
        </is>
      </c>
      <c r="O5" s="336">
        <f>IFERROR(VLOOKUP(2,リーグ勝敗表!$AZ$6:$BA$11,2,0),"2")</f>
        <v/>
      </c>
      <c r="P5" s="84" t="inlineStr">
        <is>
          <t>ー</t>
        </is>
      </c>
      <c r="Q5" s="337">
        <f>IFERROR(VLOOKUP(6,リーグ勝敗表!$AZ$6:$BA$11,2,0),"6")</f>
        <v/>
      </c>
      <c r="R5" s="338">
        <f>IFERROR(VLOOKUP(3,リーグ勝敗表!$AZ$6:$BA$11,2,0),"3")&amp;"-"&amp;IFERROR(VLOOKUP(4,リーグ勝敗表!$AZ$6:$BA$11,2,0),"4")</f>
        <v/>
      </c>
      <c r="S5" s="339" t="n">
        <v>45140</v>
      </c>
      <c r="T5" s="69" t="inlineStr">
        <is>
          <t>日</t>
        </is>
      </c>
      <c r="U5" s="340" t="n"/>
      <c r="V5" s="50" t="inlineStr">
        <is>
          <t>ー</t>
        </is>
      </c>
      <c r="W5" s="341" t="n"/>
      <c r="X5" s="333" t="n"/>
    </row>
    <row r="6" ht="16.15" customHeight="1" s="257">
      <c r="A6" s="330" t="n">
        <v>45049</v>
      </c>
      <c r="B6" s="69" t="inlineStr">
        <is>
          <t>日</t>
        </is>
      </c>
      <c r="C6" s="340" t="n"/>
      <c r="D6" s="50" t="inlineStr">
        <is>
          <t>ー</t>
        </is>
      </c>
      <c r="E6" s="341" t="n"/>
      <c r="F6" s="333" t="n"/>
      <c r="G6" s="330" t="n">
        <v>45080</v>
      </c>
      <c r="H6" s="70" t="inlineStr">
        <is>
          <t>水</t>
        </is>
      </c>
      <c r="I6" s="340">
        <f>IFERROR(VLOOKUP(2,リーグ勝敗表!$AZ$6:$BA$11,2,0),"2")</f>
        <v/>
      </c>
      <c r="J6" s="50" t="inlineStr">
        <is>
          <t>ー</t>
        </is>
      </c>
      <c r="K6" s="341">
        <f>IFERROR(VLOOKUP(3,リーグ勝敗表!$AZ$6:$BA$11,2,0),"3")</f>
        <v/>
      </c>
      <c r="L6" s="333">
        <f>IFERROR(VLOOKUP(1,リーグ勝敗表!$AZ$6:$BA$11,2,0),"1")&amp;"-"&amp;IFERROR(VLOOKUP(6,リーグ勝敗表!$AZ$6:$BA$11,2,0),"6")</f>
        <v/>
      </c>
      <c r="M6" s="330" t="n">
        <v>45110</v>
      </c>
      <c r="N6" s="69" t="inlineStr">
        <is>
          <t>金</t>
        </is>
      </c>
      <c r="O6" s="336" t="n"/>
      <c r="P6" s="84" t="inlineStr">
        <is>
          <t>ー</t>
        </is>
      </c>
      <c r="Q6" s="337" t="n"/>
      <c r="R6" s="338" t="n"/>
      <c r="S6" s="339" t="n">
        <v>45141</v>
      </c>
      <c r="T6" s="69" t="inlineStr">
        <is>
          <t>月</t>
        </is>
      </c>
      <c r="U6" s="340" t="n"/>
      <c r="V6" s="50" t="inlineStr">
        <is>
          <t>ー</t>
        </is>
      </c>
      <c r="W6" s="341" t="n"/>
      <c r="X6" s="333" t="n"/>
    </row>
    <row r="7" ht="16.15" customHeight="1" s="257">
      <c r="A7" s="330" t="n">
        <v>45050</v>
      </c>
      <c r="B7" s="69" t="inlineStr">
        <is>
          <t>月</t>
        </is>
      </c>
      <c r="C7" s="340" t="n"/>
      <c r="D7" s="50" t="inlineStr">
        <is>
          <t>ー</t>
        </is>
      </c>
      <c r="E7" s="341" t="n"/>
      <c r="F7" s="333" t="n"/>
      <c r="G7" s="330" t="n">
        <v>45081</v>
      </c>
      <c r="H7" s="70" t="inlineStr">
        <is>
          <t>木</t>
        </is>
      </c>
      <c r="I7" s="340">
        <f>IFERROR(VLOOKUP(4,リーグ勝敗表!$AZ$6:$BA$11,2,0),"4")</f>
        <v/>
      </c>
      <c r="J7" s="50" t="inlineStr">
        <is>
          <t>ー</t>
        </is>
      </c>
      <c r="K7" s="341">
        <f>IFERROR(VLOOKUP(5,リーグ勝敗表!$AZ$6:$BA$11,2,0),"5")</f>
        <v/>
      </c>
      <c r="L7" s="333">
        <f>IFERROR(VLOOKUP(2,リーグ勝敗表!$AZ$6:$BA$11,2,0),"2")&amp;"-"&amp;IFERROR(VLOOKUP(3,リーグ勝敗表!$AZ$6:$BA$11,2,0),"3")</f>
        <v/>
      </c>
      <c r="M7" s="330" t="n">
        <v>45111</v>
      </c>
      <c r="N7" s="69" t="inlineStr">
        <is>
          <t>土</t>
        </is>
      </c>
      <c r="O7" s="336" t="n"/>
      <c r="P7" s="84" t="inlineStr">
        <is>
          <t>ー</t>
        </is>
      </c>
      <c r="Q7" s="337" t="n"/>
      <c r="R7" s="338" t="n"/>
      <c r="S7" s="339" t="n">
        <v>45142</v>
      </c>
      <c r="T7" s="69" t="inlineStr">
        <is>
          <t>火</t>
        </is>
      </c>
      <c r="U7" s="340" t="n"/>
      <c r="V7" s="50" t="inlineStr">
        <is>
          <t>ー</t>
        </is>
      </c>
      <c r="W7" s="341" t="n"/>
      <c r="X7" s="333" t="n"/>
    </row>
    <row r="8" ht="16.15" customHeight="1" s="257">
      <c r="A8" s="330" t="n">
        <v>45051</v>
      </c>
      <c r="B8" s="69" t="inlineStr">
        <is>
          <t>火</t>
        </is>
      </c>
      <c r="C8" s="340" t="n"/>
      <c r="D8" s="50" t="inlineStr">
        <is>
          <t>ー</t>
        </is>
      </c>
      <c r="E8" s="341" t="n"/>
      <c r="F8" s="333" t="n"/>
      <c r="G8" s="330" t="n">
        <v>45082</v>
      </c>
      <c r="H8" s="70" t="inlineStr">
        <is>
          <t>金</t>
        </is>
      </c>
      <c r="I8" s="342" t="n"/>
      <c r="J8" s="66" t="inlineStr">
        <is>
          <t>ー</t>
        </is>
      </c>
      <c r="K8" s="343" t="n"/>
      <c r="L8" s="333" t="n"/>
      <c r="M8" s="330" t="n">
        <v>45112</v>
      </c>
      <c r="N8" s="69" t="inlineStr">
        <is>
          <t>日</t>
        </is>
      </c>
      <c r="O8" s="336" t="n"/>
      <c r="P8" s="84" t="inlineStr">
        <is>
          <t>ー</t>
        </is>
      </c>
      <c r="Q8" s="337" t="n"/>
      <c r="R8" s="338" t="n"/>
      <c r="S8" s="339" t="n">
        <v>45143</v>
      </c>
      <c r="T8" s="69" t="inlineStr">
        <is>
          <t>水</t>
        </is>
      </c>
      <c r="U8" s="340" t="n"/>
      <c r="V8" s="50" t="inlineStr">
        <is>
          <t>ー</t>
        </is>
      </c>
      <c r="W8" s="341" t="n"/>
      <c r="X8" s="333" t="n"/>
    </row>
    <row r="9" ht="16.15" customHeight="1" s="257">
      <c r="A9" s="330" t="n">
        <v>45052</v>
      </c>
      <c r="B9" s="69" t="inlineStr">
        <is>
          <t>水</t>
        </is>
      </c>
      <c r="C9" s="340" t="n"/>
      <c r="D9" s="50" t="inlineStr">
        <is>
          <t>ー</t>
        </is>
      </c>
      <c r="E9" s="341" t="n"/>
      <c r="F9" s="333" t="n"/>
      <c r="G9" s="330" t="n">
        <v>45083</v>
      </c>
      <c r="H9" s="70" t="inlineStr">
        <is>
          <t>土</t>
        </is>
      </c>
      <c r="I9" s="340" t="n"/>
      <c r="J9" s="50" t="inlineStr">
        <is>
          <t>ー</t>
        </is>
      </c>
      <c r="K9" s="341" t="n"/>
      <c r="L9" s="333" t="n"/>
      <c r="M9" s="330" t="n">
        <v>45113</v>
      </c>
      <c r="N9" s="69" t="inlineStr">
        <is>
          <t>月</t>
        </is>
      </c>
      <c r="O9" s="336" t="n"/>
      <c r="P9" s="84" t="inlineStr">
        <is>
          <t>ー</t>
        </is>
      </c>
      <c r="Q9" s="337" t="n"/>
      <c r="R9" s="338" t="n"/>
      <c r="S9" s="339" t="n">
        <v>45144</v>
      </c>
      <c r="T9" s="69" t="inlineStr">
        <is>
          <t>木</t>
        </is>
      </c>
      <c r="U9" s="340" t="n"/>
      <c r="V9" s="50" t="inlineStr">
        <is>
          <t>ー</t>
        </is>
      </c>
      <c r="W9" s="341" t="n"/>
      <c r="X9" s="333" t="n"/>
    </row>
    <row r="10" ht="16.15" customHeight="1" s="257">
      <c r="A10" s="330" t="n">
        <v>45053</v>
      </c>
      <c r="B10" s="69" t="inlineStr">
        <is>
          <t>木</t>
        </is>
      </c>
      <c r="C10" s="340" t="n"/>
      <c r="D10" s="50" t="inlineStr">
        <is>
          <t>ー</t>
        </is>
      </c>
      <c r="E10" s="341" t="n"/>
      <c r="F10" s="333" t="n"/>
      <c r="G10" s="330" t="n">
        <v>45084</v>
      </c>
      <c r="H10" s="70" t="inlineStr">
        <is>
          <t>日</t>
        </is>
      </c>
      <c r="I10" s="340" t="n"/>
      <c r="J10" s="50" t="inlineStr">
        <is>
          <t>ー</t>
        </is>
      </c>
      <c r="K10" s="341" t="n"/>
      <c r="L10" s="333" t="n"/>
      <c r="M10" s="330" t="n">
        <v>45114</v>
      </c>
      <c r="N10" s="69" t="inlineStr">
        <is>
          <t>火</t>
        </is>
      </c>
      <c r="O10" s="340" t="n"/>
      <c r="P10" s="50" t="inlineStr">
        <is>
          <t>ー</t>
        </is>
      </c>
      <c r="Q10" s="341" t="n"/>
      <c r="R10" s="333" t="n"/>
      <c r="S10" s="339" t="n">
        <v>45145</v>
      </c>
      <c r="T10" s="69" t="inlineStr">
        <is>
          <t>金</t>
        </is>
      </c>
      <c r="U10" s="340" t="n"/>
      <c r="V10" s="50" t="inlineStr">
        <is>
          <t>ー</t>
        </is>
      </c>
      <c r="W10" s="341" t="n"/>
      <c r="X10" s="333" t="n"/>
    </row>
    <row r="11" ht="16.15" customHeight="1" s="257">
      <c r="A11" s="330" t="n">
        <v>45054</v>
      </c>
      <c r="B11" s="69" t="inlineStr">
        <is>
          <t>金</t>
        </is>
      </c>
      <c r="C11" s="334" t="n"/>
      <c r="D11" s="47" t="inlineStr">
        <is>
          <t>ー</t>
        </is>
      </c>
      <c r="E11" s="335" t="n"/>
      <c r="F11" s="333" t="n"/>
      <c r="G11" s="330" t="n">
        <v>45085</v>
      </c>
      <c r="H11" s="70" t="inlineStr">
        <is>
          <t>月</t>
        </is>
      </c>
      <c r="I11" s="340" t="n"/>
      <c r="J11" s="50" t="inlineStr">
        <is>
          <t>ー</t>
        </is>
      </c>
      <c r="K11" s="341" t="n"/>
      <c r="L11" s="333" t="n"/>
      <c r="M11" s="330" t="n">
        <v>45115</v>
      </c>
      <c r="N11" s="69" t="inlineStr">
        <is>
          <t>水</t>
        </is>
      </c>
      <c r="O11" s="340" t="n"/>
      <c r="P11" s="50" t="inlineStr">
        <is>
          <t>ー</t>
        </is>
      </c>
      <c r="Q11" s="341" t="n"/>
      <c r="R11" s="333" t="n"/>
      <c r="S11" s="339" t="n">
        <v>45146</v>
      </c>
      <c r="T11" s="69" t="inlineStr">
        <is>
          <t>土</t>
        </is>
      </c>
      <c r="U11" s="340" t="n"/>
      <c r="V11" s="50" t="inlineStr">
        <is>
          <t>ー</t>
        </is>
      </c>
      <c r="W11" s="341" t="n"/>
      <c r="X11" s="333" t="n"/>
    </row>
    <row r="12" ht="16.15" customHeight="1" s="257">
      <c r="A12" s="330" t="n">
        <v>45055</v>
      </c>
      <c r="B12" s="69" t="inlineStr">
        <is>
          <t>土</t>
        </is>
      </c>
      <c r="C12" s="334" t="n"/>
      <c r="D12" s="47" t="inlineStr">
        <is>
          <t>ー</t>
        </is>
      </c>
      <c r="E12" s="335" t="n"/>
      <c r="F12" s="333" t="n"/>
      <c r="G12" s="330" t="n">
        <v>45086</v>
      </c>
      <c r="H12" s="70" t="inlineStr">
        <is>
          <t>火</t>
        </is>
      </c>
      <c r="I12" s="340">
        <f>IFERROR(VLOOKUP(1,リーグ勝敗表!$AZ$6:$BA$11,2,0),"1")</f>
        <v/>
      </c>
      <c r="J12" s="50" t="inlineStr">
        <is>
          <t>ー</t>
        </is>
      </c>
      <c r="K12" s="341">
        <f>IFERROR(VLOOKUP(2,リーグ勝敗表!$AZ$6:$BA$11,2,0),"2")</f>
        <v/>
      </c>
      <c r="L12" s="333">
        <f>IFERROR(VLOOKUP(4,リーグ勝敗表!$AZ$6:$BA$11,2,0),"4")&amp;"-"&amp;IFERROR(VLOOKUP(5,リーグ勝敗表!$AZ$6:$BA$11,2,0),"5")</f>
        <v/>
      </c>
      <c r="M12" s="330" t="n">
        <v>45116</v>
      </c>
      <c r="N12" s="69" t="inlineStr">
        <is>
          <t>木</t>
        </is>
      </c>
      <c r="O12" s="342" t="n"/>
      <c r="P12" s="66" t="inlineStr">
        <is>
          <t>ー</t>
        </is>
      </c>
      <c r="Q12" s="343" t="n"/>
      <c r="R12" s="333" t="n"/>
      <c r="S12" s="339" t="n">
        <v>45147</v>
      </c>
      <c r="T12" s="69" t="inlineStr">
        <is>
          <t>日</t>
        </is>
      </c>
      <c r="U12" s="340" t="n"/>
      <c r="V12" s="50" t="inlineStr">
        <is>
          <t>ー</t>
        </is>
      </c>
      <c r="W12" s="341" t="n"/>
      <c r="X12" s="333" t="n"/>
    </row>
    <row r="13" ht="16.15" customHeight="1" s="257">
      <c r="A13" s="330" t="n">
        <v>45056</v>
      </c>
      <c r="B13" s="69" t="inlineStr">
        <is>
          <t>日</t>
        </is>
      </c>
      <c r="C13" s="334" t="n"/>
      <c r="D13" s="47" t="inlineStr">
        <is>
          <t>ー</t>
        </is>
      </c>
      <c r="E13" s="335" t="n"/>
      <c r="F13" s="333" t="n"/>
      <c r="G13" s="330" t="n">
        <v>45087</v>
      </c>
      <c r="H13" s="70" t="inlineStr">
        <is>
          <t>水</t>
        </is>
      </c>
      <c r="I13" s="340">
        <f>IFERROR(VLOOKUP(3,リーグ勝敗表!$AZ$6:$BA$11,2,0),"3")</f>
        <v/>
      </c>
      <c r="J13" s="50" t="inlineStr">
        <is>
          <t>ー</t>
        </is>
      </c>
      <c r="K13" s="341">
        <f>IFERROR(VLOOKUP(5,リーグ勝敗表!$AZ$6:$BA$11,2,0),"5")</f>
        <v/>
      </c>
      <c r="L13" s="333">
        <f>IFERROR(VLOOKUP(1,リーグ勝敗表!$AZ$6:$BA$11,2,0),"1")&amp;"-"&amp;IFERROR(VLOOKUP(2,リーグ勝敗表!$AZ$6:$BA$11,2,0),"2")</f>
        <v/>
      </c>
      <c r="M13" s="330" t="n">
        <v>45117</v>
      </c>
      <c r="N13" s="69" t="inlineStr">
        <is>
          <t>金</t>
        </is>
      </c>
      <c r="O13" s="340" t="n"/>
      <c r="P13" s="50" t="inlineStr">
        <is>
          <t>ー</t>
        </is>
      </c>
      <c r="Q13" s="341" t="n"/>
      <c r="R13" s="333" t="n"/>
      <c r="S13" s="339" t="n">
        <v>45148</v>
      </c>
      <c r="T13" s="69" t="inlineStr">
        <is>
          <t>月</t>
        </is>
      </c>
      <c r="U13" s="340" t="n"/>
      <c r="V13" s="50" t="inlineStr">
        <is>
          <t>ー</t>
        </is>
      </c>
      <c r="W13" s="341" t="n"/>
      <c r="X13" s="333" t="n"/>
    </row>
    <row r="14" ht="16.15" customHeight="1" s="257">
      <c r="A14" s="330" t="n">
        <v>45057</v>
      </c>
      <c r="B14" s="69" t="inlineStr">
        <is>
          <t>月</t>
        </is>
      </c>
      <c r="C14" s="334" t="n"/>
      <c r="D14" s="47" t="inlineStr">
        <is>
          <t>ー</t>
        </is>
      </c>
      <c r="E14" s="335" t="n"/>
      <c r="F14" s="333" t="n"/>
      <c r="G14" s="330" t="n">
        <v>45088</v>
      </c>
      <c r="H14" s="70" t="inlineStr">
        <is>
          <t>木</t>
        </is>
      </c>
      <c r="I14" s="340">
        <f>IFERROR(VLOOKUP(4,リーグ勝敗表!$AZ$6:$BA$11,2,0),"4")</f>
        <v/>
      </c>
      <c r="J14" s="50" t="inlineStr">
        <is>
          <t>ー</t>
        </is>
      </c>
      <c r="K14" s="341">
        <f>IFERROR(VLOOKUP(6,リーグ勝敗表!$AZ$6:$BA$11,2,0),"6")</f>
        <v/>
      </c>
      <c r="L14" s="333">
        <f>IFERROR(VLOOKUP(3,リーグ勝敗表!$AZ$6:$BA$11,2,0),"3")&amp;"-"&amp;IFERROR(VLOOKUP(5,リーグ勝敗表!$AZ$6:$BA$11,2,0),"5")</f>
        <v/>
      </c>
      <c r="M14" s="330" t="n">
        <v>45118</v>
      </c>
      <c r="N14" s="69" t="inlineStr">
        <is>
          <t>土</t>
        </is>
      </c>
      <c r="O14" s="340" t="n"/>
      <c r="P14" s="50" t="inlineStr">
        <is>
          <t>ー</t>
        </is>
      </c>
      <c r="Q14" s="341" t="n"/>
      <c r="R14" s="333" t="n"/>
      <c r="S14" s="339" t="n">
        <v>45149</v>
      </c>
      <c r="T14" s="69" t="inlineStr">
        <is>
          <t>火</t>
        </is>
      </c>
      <c r="U14" s="340" t="n"/>
      <c r="V14" s="50" t="inlineStr">
        <is>
          <t>ー</t>
        </is>
      </c>
      <c r="W14" s="341" t="n"/>
      <c r="X14" s="333" t="n"/>
    </row>
    <row r="15" ht="16.15" customHeight="1" s="257">
      <c r="A15" s="330" t="n">
        <v>45058</v>
      </c>
      <c r="B15" s="69" t="inlineStr">
        <is>
          <t>火</t>
        </is>
      </c>
      <c r="C15" s="334" t="n"/>
      <c r="D15" s="47" t="inlineStr">
        <is>
          <t>ー</t>
        </is>
      </c>
      <c r="E15" s="335" t="n"/>
      <c r="F15" s="333" t="n"/>
      <c r="G15" s="330" t="n">
        <v>45089</v>
      </c>
      <c r="H15" s="70" t="inlineStr">
        <is>
          <t>金</t>
        </is>
      </c>
      <c r="I15" s="342" t="n"/>
      <c r="J15" s="66" t="inlineStr">
        <is>
          <t>ー</t>
        </is>
      </c>
      <c r="K15" s="343" t="n"/>
      <c r="L15" s="333" t="n"/>
      <c r="M15" s="330" t="n">
        <v>45119</v>
      </c>
      <c r="N15" s="69" t="inlineStr">
        <is>
          <t>日</t>
        </is>
      </c>
      <c r="O15" s="340" t="n"/>
      <c r="P15" s="50" t="inlineStr">
        <is>
          <t>ー</t>
        </is>
      </c>
      <c r="Q15" s="341" t="n"/>
      <c r="R15" s="333" t="n"/>
      <c r="S15" s="339" t="n">
        <v>45150</v>
      </c>
      <c r="T15" s="69" t="inlineStr">
        <is>
          <t>水</t>
        </is>
      </c>
      <c r="U15" s="340" t="n"/>
      <c r="V15" s="50" t="inlineStr">
        <is>
          <t>ー</t>
        </is>
      </c>
      <c r="W15" s="341" t="n"/>
      <c r="X15" s="333" t="n"/>
    </row>
    <row r="16" ht="16.15" customHeight="1" s="257">
      <c r="A16" s="330" t="n">
        <v>45059</v>
      </c>
      <c r="B16" s="69" t="inlineStr">
        <is>
          <t>水</t>
        </is>
      </c>
      <c r="C16" s="342" t="n"/>
      <c r="D16" s="66" t="inlineStr">
        <is>
          <t>ー</t>
        </is>
      </c>
      <c r="E16" s="343" t="n"/>
      <c r="F16" s="333" t="n"/>
      <c r="G16" s="330" t="n">
        <v>45090</v>
      </c>
      <c r="H16" s="70" t="inlineStr">
        <is>
          <t>土</t>
        </is>
      </c>
      <c r="I16" s="340" t="n"/>
      <c r="J16" s="50" t="inlineStr">
        <is>
          <t>ー</t>
        </is>
      </c>
      <c r="K16" s="341" t="n"/>
      <c r="L16" s="333" t="n"/>
      <c r="M16" s="330" t="n">
        <v>45120</v>
      </c>
      <c r="N16" s="69" t="inlineStr">
        <is>
          <t>月</t>
        </is>
      </c>
      <c r="O16" s="340" t="n"/>
      <c r="P16" s="50" t="inlineStr">
        <is>
          <t>ー</t>
        </is>
      </c>
      <c r="Q16" s="341" t="n"/>
      <c r="R16" s="333" t="n"/>
      <c r="S16" s="339" t="n">
        <v>45151</v>
      </c>
      <c r="T16" s="69" t="inlineStr">
        <is>
          <t>木</t>
        </is>
      </c>
      <c r="U16" s="340" t="n"/>
      <c r="V16" s="50" t="inlineStr">
        <is>
          <t>ー</t>
        </is>
      </c>
      <c r="W16" s="341" t="n"/>
      <c r="X16" s="333" t="n"/>
    </row>
    <row r="17" ht="16.15" customHeight="1" s="257">
      <c r="A17" s="330" t="n">
        <v>45060</v>
      </c>
      <c r="B17" s="69" t="inlineStr">
        <is>
          <t>木</t>
        </is>
      </c>
      <c r="C17" s="334" t="n"/>
      <c r="D17" s="47" t="inlineStr">
        <is>
          <t>ー</t>
        </is>
      </c>
      <c r="E17" s="335" t="n"/>
      <c r="F17" s="333" t="n"/>
      <c r="G17" s="330" t="n">
        <v>45091</v>
      </c>
      <c r="H17" s="70" t="inlineStr">
        <is>
          <t>日</t>
        </is>
      </c>
      <c r="I17" s="340" t="n"/>
      <c r="J17" s="47" t="inlineStr">
        <is>
          <t>ー</t>
        </is>
      </c>
      <c r="K17" s="341" t="n"/>
      <c r="L17" s="333" t="n"/>
      <c r="M17" s="330" t="n">
        <v>45121</v>
      </c>
      <c r="N17" s="69" t="inlineStr">
        <is>
          <t>火</t>
        </is>
      </c>
      <c r="O17" s="340" t="n"/>
      <c r="P17" s="50" t="inlineStr">
        <is>
          <t>ー</t>
        </is>
      </c>
      <c r="Q17" s="341" t="n"/>
      <c r="R17" s="333" t="n"/>
      <c r="S17" s="339" t="n">
        <v>45152</v>
      </c>
      <c r="T17" s="69" t="inlineStr">
        <is>
          <t>金</t>
        </is>
      </c>
      <c r="U17" s="340" t="n"/>
      <c r="V17" s="50" t="inlineStr">
        <is>
          <t>ー</t>
        </is>
      </c>
      <c r="W17" s="341" t="n"/>
      <c r="X17" s="333" t="n"/>
    </row>
    <row r="18" ht="16.15" customHeight="1" s="257">
      <c r="A18" s="330" t="n">
        <v>45061</v>
      </c>
      <c r="B18" s="69" t="inlineStr">
        <is>
          <t>金</t>
        </is>
      </c>
      <c r="C18" s="334" t="n"/>
      <c r="D18" s="47" t="inlineStr">
        <is>
          <t>ー</t>
        </is>
      </c>
      <c r="E18" s="335" t="n"/>
      <c r="F18" s="333" t="n"/>
      <c r="G18" s="330" t="n">
        <v>45092</v>
      </c>
      <c r="H18" s="70" t="inlineStr">
        <is>
          <t>月</t>
        </is>
      </c>
      <c r="I18" s="340" t="n"/>
      <c r="J18" s="47" t="inlineStr">
        <is>
          <t>ー</t>
        </is>
      </c>
      <c r="K18" s="341" t="n"/>
      <c r="L18" s="333" t="n"/>
      <c r="M18" s="330" t="n">
        <v>45122</v>
      </c>
      <c r="N18" s="69" t="inlineStr">
        <is>
          <t>水</t>
        </is>
      </c>
      <c r="O18" s="340" t="n"/>
      <c r="P18" s="50" t="inlineStr">
        <is>
          <t>ー</t>
        </is>
      </c>
      <c r="Q18" s="341" t="n"/>
      <c r="R18" s="344" t="n"/>
      <c r="S18" s="339" t="n">
        <v>45153</v>
      </c>
      <c r="T18" s="69" t="inlineStr">
        <is>
          <t>土</t>
        </is>
      </c>
      <c r="U18" s="340" t="n"/>
      <c r="V18" s="50" t="inlineStr">
        <is>
          <t>ー</t>
        </is>
      </c>
      <c r="W18" s="341" t="n"/>
      <c r="X18" s="333" t="n"/>
    </row>
    <row r="19" ht="16.15" customHeight="1" s="257">
      <c r="A19" s="330" t="n">
        <v>45062</v>
      </c>
      <c r="B19" s="69" t="inlineStr">
        <is>
          <t>土</t>
        </is>
      </c>
      <c r="C19" s="334" t="n"/>
      <c r="D19" s="47" t="inlineStr">
        <is>
          <t>ー</t>
        </is>
      </c>
      <c r="E19" s="335" t="n"/>
      <c r="F19" s="333" t="n"/>
      <c r="G19" s="330" t="n">
        <v>45093</v>
      </c>
      <c r="H19" s="70" t="inlineStr">
        <is>
          <t>火</t>
        </is>
      </c>
      <c r="I19" s="340" t="inlineStr">
        <is>
          <t>予備日</t>
        </is>
      </c>
      <c r="J19" s="50" t="n"/>
      <c r="K19" s="341" t="n"/>
      <c r="L19" s="333" t="n"/>
      <c r="M19" s="330" t="n">
        <v>45123</v>
      </c>
      <c r="N19" s="69" t="inlineStr">
        <is>
          <t>木</t>
        </is>
      </c>
      <c r="O19" s="340" t="n"/>
      <c r="P19" s="50" t="inlineStr">
        <is>
          <t>ー</t>
        </is>
      </c>
      <c r="Q19" s="341" t="n"/>
      <c r="R19" s="344" t="n"/>
      <c r="S19" s="339" t="n">
        <v>45154</v>
      </c>
      <c r="T19" s="69" t="inlineStr">
        <is>
          <t>日</t>
        </is>
      </c>
      <c r="U19" s="340" t="n"/>
      <c r="V19" s="50" t="inlineStr">
        <is>
          <t>ー</t>
        </is>
      </c>
      <c r="W19" s="341" t="n"/>
      <c r="X19" s="333" t="n"/>
    </row>
    <row r="20" ht="16.15" customHeight="1" s="257">
      <c r="A20" s="330" t="n">
        <v>45063</v>
      </c>
      <c r="B20" s="69" t="inlineStr">
        <is>
          <t>日</t>
        </is>
      </c>
      <c r="C20" s="340" t="n"/>
      <c r="D20" s="50" t="inlineStr">
        <is>
          <t>ー</t>
        </is>
      </c>
      <c r="E20" s="341" t="n"/>
      <c r="F20" s="333" t="n"/>
      <c r="G20" s="330" t="n">
        <v>45094</v>
      </c>
      <c r="H20" s="70" t="inlineStr">
        <is>
          <t>水</t>
        </is>
      </c>
      <c r="I20" s="336" t="inlineStr">
        <is>
          <t>予備日</t>
        </is>
      </c>
      <c r="J20" s="84" t="n"/>
      <c r="K20" s="337" t="n"/>
      <c r="L20" s="338" t="n"/>
      <c r="M20" s="330" t="n">
        <v>45124</v>
      </c>
      <c r="N20" s="69" t="inlineStr">
        <is>
          <t>金</t>
        </is>
      </c>
      <c r="O20" s="340" t="n"/>
      <c r="P20" s="50" t="inlineStr">
        <is>
          <t>ー</t>
        </is>
      </c>
      <c r="Q20" s="341" t="n"/>
      <c r="R20" s="344" t="n"/>
      <c r="S20" s="339" t="n">
        <v>45155</v>
      </c>
      <c r="T20" s="69" t="inlineStr">
        <is>
          <t>月</t>
        </is>
      </c>
      <c r="U20" s="340" t="n"/>
      <c r="V20" s="50" t="inlineStr">
        <is>
          <t>ー</t>
        </is>
      </c>
      <c r="W20" s="341" t="n"/>
      <c r="X20" s="333" t="n"/>
    </row>
    <row r="21" ht="16.15" customHeight="1" s="257" thickBot="1">
      <c r="A21" s="330" t="n">
        <v>45064</v>
      </c>
      <c r="B21" s="69" t="inlineStr">
        <is>
          <t>月</t>
        </is>
      </c>
      <c r="C21" s="340" t="n"/>
      <c r="D21" s="50" t="inlineStr">
        <is>
          <t>ー</t>
        </is>
      </c>
      <c r="E21" s="341" t="n"/>
      <c r="F21" s="333" t="n"/>
      <c r="G21" s="330" t="n">
        <v>45095</v>
      </c>
      <c r="H21" s="70" t="inlineStr">
        <is>
          <t>木</t>
        </is>
      </c>
      <c r="I21" s="336" t="inlineStr">
        <is>
          <t>予備日</t>
        </is>
      </c>
      <c r="J21" s="84" t="n"/>
      <c r="K21" s="337" t="n"/>
      <c r="L21" s="338" t="n"/>
      <c r="M21" s="330" t="n">
        <v>45125</v>
      </c>
      <c r="N21" s="69" t="inlineStr">
        <is>
          <t>土</t>
        </is>
      </c>
      <c r="O21" s="340" t="n"/>
      <c r="P21" s="50" t="inlineStr">
        <is>
          <t>ー</t>
        </is>
      </c>
      <c r="Q21" s="341" t="n"/>
      <c r="R21" s="333" t="n"/>
      <c r="S21" s="345" t="n">
        <v>45156</v>
      </c>
      <c r="T21" s="71" t="inlineStr">
        <is>
          <t>火</t>
        </is>
      </c>
      <c r="U21" s="346" t="n"/>
      <c r="V21" s="60" t="inlineStr">
        <is>
          <t>ー</t>
        </is>
      </c>
      <c r="W21" s="347" t="n"/>
      <c r="X21" s="348" t="n"/>
    </row>
    <row r="22" ht="16.15" customHeight="1" s="257" thickBot="1">
      <c r="A22" s="330" t="n">
        <v>45065</v>
      </c>
      <c r="B22" s="69" t="inlineStr">
        <is>
          <t>火</t>
        </is>
      </c>
      <c r="C22" s="340" t="n"/>
      <c r="D22" s="50" t="inlineStr">
        <is>
          <t>ー</t>
        </is>
      </c>
      <c r="E22" s="341" t="n"/>
      <c r="F22" s="333" t="n"/>
      <c r="G22" s="330" t="n">
        <v>45096</v>
      </c>
      <c r="H22" s="70" t="inlineStr">
        <is>
          <t>金</t>
        </is>
      </c>
      <c r="I22" s="336" t="n"/>
      <c r="J22" s="84" t="n"/>
      <c r="K22" s="337" t="n"/>
      <c r="L22" s="338" t="n"/>
      <c r="M22" s="330" t="n">
        <v>45126</v>
      </c>
      <c r="N22" s="69" t="inlineStr">
        <is>
          <t>日</t>
        </is>
      </c>
      <c r="O22" s="340" t="n"/>
      <c r="P22" s="50" t="inlineStr">
        <is>
          <t>ー</t>
        </is>
      </c>
      <c r="Q22" s="341" t="n"/>
      <c r="R22" s="333" t="n"/>
      <c r="S22" s="24" t="n"/>
      <c r="T22" s="24" t="inlineStr">
        <is>
          <t>水</t>
        </is>
      </c>
      <c r="U22" s="349" t="n"/>
      <c r="V22" s="238" t="n"/>
      <c r="W22" s="350" t="n"/>
      <c r="X22" s="350" t="n"/>
    </row>
    <row r="23" ht="16.15" customHeight="1" s="257">
      <c r="A23" s="330" t="n">
        <v>45066</v>
      </c>
      <c r="B23" s="69" t="inlineStr">
        <is>
          <t>水</t>
        </is>
      </c>
      <c r="C23" s="342" t="n"/>
      <c r="D23" s="66" t="inlineStr">
        <is>
          <t>ー</t>
        </is>
      </c>
      <c r="E23" s="343" t="n"/>
      <c r="F23" s="333" t="n"/>
      <c r="G23" s="330" t="n">
        <v>45097</v>
      </c>
      <c r="H23" s="70" t="inlineStr">
        <is>
          <t>土</t>
        </is>
      </c>
      <c r="I23" s="336" t="n"/>
      <c r="J23" s="84" t="n"/>
      <c r="K23" s="337" t="n"/>
      <c r="L23" s="338" t="n"/>
      <c r="M23" s="330" t="n">
        <v>45127</v>
      </c>
      <c r="N23" s="69" t="inlineStr">
        <is>
          <t>月</t>
        </is>
      </c>
      <c r="O23" s="340" t="n"/>
      <c r="P23" s="50" t="inlineStr">
        <is>
          <t>ー</t>
        </is>
      </c>
      <c r="Q23" s="341" t="n"/>
      <c r="R23" s="333" t="n"/>
      <c r="S23" s="76" t="inlineStr">
        <is>
          <t>NO.</t>
        </is>
      </c>
      <c r="T23" s="249" t="inlineStr">
        <is>
          <t>木</t>
        </is>
      </c>
      <c r="U23" s="328" t="n"/>
      <c r="V23" s="328" t="n"/>
      <c r="W23" s="328" t="n"/>
      <c r="X23" s="351" t="n"/>
    </row>
    <row r="24" ht="16.15" customHeight="1" s="257">
      <c r="A24" s="330" t="n">
        <v>45067</v>
      </c>
      <c r="B24" s="69" t="inlineStr">
        <is>
          <t>木</t>
        </is>
      </c>
      <c r="C24" s="340" t="n"/>
      <c r="D24" s="50" t="inlineStr">
        <is>
          <t>ー</t>
        </is>
      </c>
      <c r="E24" s="341" t="n"/>
      <c r="F24" s="333" t="n"/>
      <c r="G24" s="330" t="n">
        <v>45098</v>
      </c>
      <c r="H24" s="70" t="inlineStr">
        <is>
          <t>日</t>
        </is>
      </c>
      <c r="I24" s="336" t="n"/>
      <c r="J24" s="84" t="n"/>
      <c r="K24" s="337" t="n"/>
      <c r="L24" s="338" t="n"/>
      <c r="M24" s="330" t="n">
        <v>45128</v>
      </c>
      <c r="N24" s="69" t="inlineStr">
        <is>
          <t>火</t>
        </is>
      </c>
      <c r="O24" s="340" t="n"/>
      <c r="P24" s="50" t="inlineStr">
        <is>
          <t>ー</t>
        </is>
      </c>
      <c r="Q24" s="341" t="n"/>
      <c r="R24" s="333" t="n"/>
      <c r="S24" s="73" t="n">
        <v>1</v>
      </c>
      <c r="T24" s="236" t="inlineStr">
        <is>
          <t>金</t>
        </is>
      </c>
      <c r="U24" s="278" t="n"/>
      <c r="V24" s="278" t="n"/>
      <c r="W24" s="278" t="n"/>
      <c r="X24" s="279" t="n"/>
    </row>
    <row r="25" ht="16.15" customHeight="1" s="257">
      <c r="A25" s="330" t="n">
        <v>45068</v>
      </c>
      <c r="B25" s="69" t="inlineStr">
        <is>
          <t>金</t>
        </is>
      </c>
      <c r="C25" s="340" t="n"/>
      <c r="D25" s="50" t="inlineStr">
        <is>
          <t>ー</t>
        </is>
      </c>
      <c r="E25" s="341" t="n"/>
      <c r="F25" s="333" t="n"/>
      <c r="G25" s="330" t="n">
        <v>45099</v>
      </c>
      <c r="H25" s="70" t="inlineStr">
        <is>
          <t>月</t>
        </is>
      </c>
      <c r="I25" s="336" t="n"/>
      <c r="J25" s="84" t="n"/>
      <c r="K25" s="337" t="n"/>
      <c r="L25" s="338" t="n"/>
      <c r="M25" s="330" t="n">
        <v>45129</v>
      </c>
      <c r="N25" s="69" t="inlineStr">
        <is>
          <t>水</t>
        </is>
      </c>
      <c r="O25" s="340" t="n"/>
      <c r="P25" s="50" t="inlineStr">
        <is>
          <t>ー</t>
        </is>
      </c>
      <c r="Q25" s="341" t="n"/>
      <c r="R25" s="333" t="n"/>
      <c r="S25" s="73" t="n">
        <v>2</v>
      </c>
      <c r="T25" s="236" t="inlineStr">
        <is>
          <t>土</t>
        </is>
      </c>
      <c r="U25" s="278" t="n"/>
      <c r="V25" s="278" t="n"/>
      <c r="W25" s="278" t="n"/>
      <c r="X25" s="279" t="n"/>
    </row>
    <row r="26" ht="16.15" customHeight="1" s="257">
      <c r="A26" s="330" t="n">
        <v>45069</v>
      </c>
      <c r="B26" s="69" t="inlineStr">
        <is>
          <t>土</t>
        </is>
      </c>
      <c r="C26" s="340" t="n"/>
      <c r="D26" s="50" t="inlineStr">
        <is>
          <t>ー</t>
        </is>
      </c>
      <c r="E26" s="341" t="n"/>
      <c r="F26" s="333" t="n"/>
      <c r="G26" s="330" t="n">
        <v>45100</v>
      </c>
      <c r="H26" s="70" t="inlineStr">
        <is>
          <t>火</t>
        </is>
      </c>
      <c r="I26" s="336">
        <f>IFERROR(VLOOKUP(2,リーグ勝敗表!$AZ$6:$BA$11,2,0),"2")</f>
        <v/>
      </c>
      <c r="J26" s="84" t="n"/>
      <c r="K26" s="337">
        <f>IFERROR(VLOOKUP(5,リーグ勝敗表!$AZ$6:$BA$11,2,0),"5")</f>
        <v/>
      </c>
      <c r="L26" s="338">
        <f>IFERROR(VLOOKUP(4,リーグ勝敗表!$AZ$6:$BA$11,2,0),"4")&amp;"-"&amp;IFERROR(VLOOKUP(6,リーグ勝敗表!$AZ$6:$BA$11,2,0),"6")</f>
        <v/>
      </c>
      <c r="M26" s="330" t="n">
        <v>45130</v>
      </c>
      <c r="N26" s="69" t="inlineStr">
        <is>
          <t>木</t>
        </is>
      </c>
      <c r="O26" s="340" t="n"/>
      <c r="P26" s="50" t="inlineStr">
        <is>
          <t>ー</t>
        </is>
      </c>
      <c r="Q26" s="341" t="n"/>
      <c r="R26" s="333" t="n"/>
      <c r="S26" s="73" t="n">
        <v>3</v>
      </c>
      <c r="T26" s="236" t="inlineStr">
        <is>
          <t>日</t>
        </is>
      </c>
      <c r="U26" s="278" t="n"/>
      <c r="V26" s="278" t="n"/>
      <c r="W26" s="278" t="n"/>
      <c r="X26" s="279" t="n"/>
    </row>
    <row r="27" ht="16.15" customHeight="1" s="257">
      <c r="A27" s="330" t="n">
        <v>45070</v>
      </c>
      <c r="B27" s="69" t="inlineStr">
        <is>
          <t>日</t>
        </is>
      </c>
      <c r="C27" s="340" t="n"/>
      <c r="D27" s="50" t="inlineStr">
        <is>
          <t>ー</t>
        </is>
      </c>
      <c r="E27" s="341" t="n"/>
      <c r="F27" s="333" t="n"/>
      <c r="G27" s="330" t="n">
        <v>45101</v>
      </c>
      <c r="H27" s="70" t="inlineStr">
        <is>
          <t>水</t>
        </is>
      </c>
      <c r="I27" s="336">
        <f>IFERROR(VLOOKUP(1,リーグ勝敗表!$AZ$6:$BA$11,2,0),"1")</f>
        <v/>
      </c>
      <c r="J27" s="84" t="n"/>
      <c r="K27" s="337">
        <f>IFERROR(VLOOKUP(4,リーグ勝敗表!$AZ$6:$BA$11,2,0),"4")</f>
        <v/>
      </c>
      <c r="L27" s="338">
        <f>IFERROR(VLOOKUP(2,リーグ勝敗表!$AZ$6:$BA$11,2,0),"2")&amp;"-"&amp;IFERROR(VLOOKUP(5,リーグ勝敗表!$AZ$6:$BA$11,2,0),"5")</f>
        <v/>
      </c>
      <c r="M27" s="330" t="n">
        <v>45131</v>
      </c>
      <c r="N27" s="69" t="inlineStr">
        <is>
          <t>金</t>
        </is>
      </c>
      <c r="O27" s="340" t="n"/>
      <c r="P27" s="50" t="inlineStr">
        <is>
          <t>ー</t>
        </is>
      </c>
      <c r="Q27" s="341" t="n"/>
      <c r="R27" s="333" t="n"/>
      <c r="S27" s="73" t="n">
        <v>4</v>
      </c>
      <c r="T27" s="236" t="inlineStr">
        <is>
          <t>月</t>
        </is>
      </c>
      <c r="U27" s="278" t="n"/>
      <c r="V27" s="278" t="n"/>
      <c r="W27" s="278" t="n"/>
      <c r="X27" s="279" t="n"/>
    </row>
    <row r="28" ht="16.15" customHeight="1" s="257">
      <c r="A28" s="330" t="n">
        <v>45071</v>
      </c>
      <c r="B28" s="69" t="inlineStr">
        <is>
          <t>月</t>
        </is>
      </c>
      <c r="C28" s="340" t="n"/>
      <c r="D28" s="50" t="inlineStr">
        <is>
          <t>ー</t>
        </is>
      </c>
      <c r="E28" s="341" t="n"/>
      <c r="F28" s="333" t="n"/>
      <c r="G28" s="330" t="n">
        <v>45102</v>
      </c>
      <c r="H28" s="70" t="inlineStr">
        <is>
          <t>木</t>
        </is>
      </c>
      <c r="I28" s="336">
        <f>IFERROR(VLOOKUP(3,リーグ勝敗表!$AZ$6:$BA$11,2,0),"3")</f>
        <v/>
      </c>
      <c r="J28" s="84" t="n"/>
      <c r="K28" s="337">
        <f>IFERROR(VLOOKUP(6,リーグ勝敗表!$AZ$6:$BA$11,2,0),"6")</f>
        <v/>
      </c>
      <c r="L28" s="338">
        <f>IFERROR(VLOOKUP(1,リーグ勝敗表!$AZ$6:$BA$11,2,0),"1")&amp;"-"&amp;IFERROR(VLOOKUP(4,リーグ勝敗表!$AZ$6:$BA$11,2,0),"4")</f>
        <v/>
      </c>
      <c r="M28" s="330" t="n">
        <v>45132</v>
      </c>
      <c r="N28" s="69" t="inlineStr">
        <is>
          <t>土</t>
        </is>
      </c>
      <c r="O28" s="340" t="n"/>
      <c r="P28" s="50" t="inlineStr">
        <is>
          <t>ー</t>
        </is>
      </c>
      <c r="Q28" s="341" t="n"/>
      <c r="R28" s="333" t="n"/>
      <c r="S28" s="73" t="n">
        <v>5</v>
      </c>
      <c r="T28" s="236" t="inlineStr">
        <is>
          <t>火</t>
        </is>
      </c>
      <c r="U28" s="278" t="n"/>
      <c r="V28" s="278" t="n"/>
      <c r="W28" s="278" t="n"/>
      <c r="X28" s="279" t="n"/>
    </row>
    <row r="29" ht="16.15" customHeight="1" s="257">
      <c r="A29" s="330" t="n">
        <v>45072</v>
      </c>
      <c r="B29" s="69" t="inlineStr">
        <is>
          <t>火</t>
        </is>
      </c>
      <c r="C29" s="340">
        <f>IFERROR(VLOOKUP(1,リーグ勝敗表!$AZ$6:$BA$11,2,0),"1")</f>
        <v/>
      </c>
      <c r="D29" s="50" t="inlineStr">
        <is>
          <t>ー</t>
        </is>
      </c>
      <c r="E29" s="341">
        <f>IFERROR(VLOOKUP(3,リーグ勝敗表!$AZ$6:$BA$11,2,0),"3")</f>
        <v/>
      </c>
      <c r="F29" s="333">
        <f>IFERROR(VLOOKUP(2,リーグ勝敗表!$AZ$6:$BA$11,2,0),"2")&amp;"-"&amp;IFERROR(VLOOKUP(6,リーグ勝敗表!$AZ$6:$BA$11,2,0),"6")</f>
        <v/>
      </c>
      <c r="G29" s="330" t="n">
        <v>45103</v>
      </c>
      <c r="H29" s="70" t="inlineStr">
        <is>
          <t>金</t>
        </is>
      </c>
      <c r="I29" s="336" t="n"/>
      <c r="J29" s="84" t="n"/>
      <c r="K29" s="337" t="n"/>
      <c r="L29" s="338" t="n"/>
      <c r="M29" s="330" t="n">
        <v>45133</v>
      </c>
      <c r="N29" s="69" t="inlineStr">
        <is>
          <t>日</t>
        </is>
      </c>
      <c r="O29" s="340" t="n"/>
      <c r="P29" s="50" t="inlineStr">
        <is>
          <t>ー</t>
        </is>
      </c>
      <c r="Q29" s="341" t="n"/>
      <c r="R29" s="333" t="n"/>
      <c r="S29" s="73" t="n">
        <v>6</v>
      </c>
      <c r="T29" s="236" t="inlineStr">
        <is>
          <t>水</t>
        </is>
      </c>
      <c r="U29" s="278" t="n"/>
      <c r="V29" s="278" t="n"/>
      <c r="W29" s="278" t="n"/>
      <c r="X29" s="279" t="n"/>
    </row>
    <row r="30" ht="16.15" customHeight="1" s="257">
      <c r="A30" s="330" t="n">
        <v>45073</v>
      </c>
      <c r="B30" s="69" t="inlineStr">
        <is>
          <t>水</t>
        </is>
      </c>
      <c r="C30" s="342">
        <f>IFERROR(VLOOKUP(5,リーグ勝敗表!$AZ$6:$BA$11,2,0),"5")</f>
        <v/>
      </c>
      <c r="D30" s="66" t="inlineStr">
        <is>
          <t>ー</t>
        </is>
      </c>
      <c r="E30" s="343">
        <f>IFERROR(VLOOKUP(6,リーグ勝敗表!$AZ$6:$BA$11,2,0),"6")</f>
        <v/>
      </c>
      <c r="F30" s="333">
        <f>IFERROR(VLOOKUP(1,リーグ勝敗表!$AZ$6:$BA$11,2,0),"1")&amp;"-"&amp;IFERROR(VLOOKUP(3,リーグ勝敗表!$AZ$6:$BA$11,2,0),"3")</f>
        <v/>
      </c>
      <c r="G30" s="330" t="n">
        <v>45104</v>
      </c>
      <c r="H30" s="70" t="inlineStr">
        <is>
          <t>土</t>
        </is>
      </c>
      <c r="I30" s="336" t="n"/>
      <c r="J30" s="84" t="n"/>
      <c r="K30" s="337" t="n"/>
      <c r="L30" s="338" t="n"/>
      <c r="M30" s="330" t="n">
        <v>45134</v>
      </c>
      <c r="N30" s="69" t="inlineStr">
        <is>
          <t>月</t>
        </is>
      </c>
      <c r="O30" s="340" t="n"/>
      <c r="P30" s="50" t="inlineStr">
        <is>
          <t>ー</t>
        </is>
      </c>
      <c r="Q30" s="341" t="n"/>
      <c r="R30" s="333" t="n"/>
      <c r="S30" s="73" t="n">
        <v>7</v>
      </c>
      <c r="T30" s="247" t="inlineStr">
        <is>
          <t>木</t>
        </is>
      </c>
      <c r="U30" s="278" t="n"/>
      <c r="V30" s="278" t="n"/>
      <c r="W30" s="278" t="n"/>
      <c r="X30" s="279" t="n"/>
    </row>
    <row r="31" ht="16.15" customHeight="1" s="257">
      <c r="A31" s="330" t="n">
        <v>45074</v>
      </c>
      <c r="B31" s="69" t="inlineStr">
        <is>
          <t>木</t>
        </is>
      </c>
      <c r="C31" s="340">
        <f>IFERROR(VLOOKUP(2,リーグ勝敗表!$AZ$6:$BA$11,2,0),"2")</f>
        <v/>
      </c>
      <c r="D31" s="50" t="inlineStr">
        <is>
          <t>ー</t>
        </is>
      </c>
      <c r="E31" s="341">
        <f>IFERROR(VLOOKUP(4,リーグ勝敗表!$AZ$6:$BA$11,2,0),"4")</f>
        <v/>
      </c>
      <c r="F31" s="333">
        <f>IFERROR(VLOOKUP(5,リーグ勝敗表!$AZ$6:$BA$11,2,0),"5")&amp;"-"&amp;IFERROR(VLOOKUP(6,リーグ勝敗表!$AZ$6:$BA$11,2,0),"6")</f>
        <v/>
      </c>
      <c r="G31" s="330" t="n">
        <v>45105</v>
      </c>
      <c r="H31" s="70" t="inlineStr">
        <is>
          <t>日</t>
        </is>
      </c>
      <c r="I31" s="336" t="n"/>
      <c r="J31" s="84" t="n"/>
      <c r="K31" s="337" t="n"/>
      <c r="L31" s="338" t="n"/>
      <c r="M31" s="330" t="n">
        <v>45135</v>
      </c>
      <c r="N31" s="69" t="inlineStr">
        <is>
          <t>火</t>
        </is>
      </c>
      <c r="O31" s="340" t="n"/>
      <c r="P31" s="50" t="inlineStr">
        <is>
          <t>ー</t>
        </is>
      </c>
      <c r="Q31" s="341" t="n"/>
      <c r="R31" s="333" t="n"/>
      <c r="S31" s="73" t="n">
        <v>8</v>
      </c>
      <c r="T31" s="236" t="inlineStr">
        <is>
          <t>金</t>
        </is>
      </c>
      <c r="U31" s="278" t="n"/>
      <c r="V31" s="278" t="n"/>
      <c r="W31" s="278" t="n"/>
      <c r="X31" s="279" t="n"/>
    </row>
    <row r="32" ht="16.15" customHeight="1" s="257">
      <c r="A32" s="330" t="n">
        <v>45075</v>
      </c>
      <c r="B32" s="69" t="inlineStr">
        <is>
          <t>金</t>
        </is>
      </c>
      <c r="C32" s="340" t="n"/>
      <c r="D32" s="50" t="inlineStr">
        <is>
          <t>ー</t>
        </is>
      </c>
      <c r="E32" s="341" t="n"/>
      <c r="F32" s="333" t="n"/>
      <c r="G32" s="330" t="n">
        <v>45106</v>
      </c>
      <c r="H32" s="70" t="inlineStr">
        <is>
          <t>月</t>
        </is>
      </c>
      <c r="I32" s="336" t="n"/>
      <c r="J32" s="84" t="n"/>
      <c r="K32" s="337" t="n"/>
      <c r="L32" s="338" t="n"/>
      <c r="M32" s="330" t="n">
        <v>45136</v>
      </c>
      <c r="N32" s="69" t="inlineStr">
        <is>
          <t>水</t>
        </is>
      </c>
      <c r="O32" s="340" t="n"/>
      <c r="P32" s="50" t="inlineStr">
        <is>
          <t>ー</t>
        </is>
      </c>
      <c r="Q32" s="341" t="n"/>
      <c r="R32" s="333" t="n"/>
      <c r="S32" s="73" t="n">
        <v>9</v>
      </c>
      <c r="T32" s="236" t="inlineStr">
        <is>
          <t>土</t>
        </is>
      </c>
      <c r="U32" s="278" t="n"/>
      <c r="V32" s="278" t="n"/>
      <c r="W32" s="278" t="n"/>
      <c r="X32" s="279" t="n"/>
    </row>
    <row r="33" ht="16.15" customHeight="1" s="257" thickBot="1">
      <c r="A33" s="330" t="n">
        <v>45076</v>
      </c>
      <c r="B33" s="69" t="inlineStr">
        <is>
          <t>土</t>
        </is>
      </c>
      <c r="C33" s="340" t="n"/>
      <c r="D33" s="50" t="inlineStr">
        <is>
          <t>ー</t>
        </is>
      </c>
      <c r="E33" s="341" t="n"/>
      <c r="F33" s="333" t="n"/>
      <c r="G33" s="352" t="n">
        <v>45107</v>
      </c>
      <c r="H33" s="82" t="inlineStr">
        <is>
          <t>火</t>
        </is>
      </c>
      <c r="I33" s="353">
        <f>IFERROR(VLOOKUP(1,リーグ勝敗表!$AZ$6:$BA$11,2,0),"1")</f>
        <v/>
      </c>
      <c r="J33" s="88" t="n"/>
      <c r="K33" s="354">
        <f>IFERROR(VLOOKUP(5,リーグ勝敗表!$AZ$6:$BA$11,2,0),"5")</f>
        <v/>
      </c>
      <c r="L33" s="355">
        <f>IFERROR(VLOOKUP(3,リーグ勝敗表!$AZ$6:$BA$11,2,0),"3")&amp;"-"&amp;IFERROR(VLOOKUP(6,リーグ勝敗表!$AZ$6:$BA$11,2,0),"6")</f>
        <v/>
      </c>
      <c r="M33" s="330" t="n">
        <v>45137</v>
      </c>
      <c r="N33" s="69" t="inlineStr">
        <is>
          <t>木</t>
        </is>
      </c>
      <c r="O33" s="340" t="n"/>
      <c r="P33" s="50" t="inlineStr">
        <is>
          <t>ー</t>
        </is>
      </c>
      <c r="Q33" s="341" t="n"/>
      <c r="R33" s="333" t="n"/>
      <c r="S33" s="77" t="n">
        <v>10</v>
      </c>
      <c r="T33" s="242" t="inlineStr">
        <is>
          <t>日</t>
        </is>
      </c>
      <c r="U33" s="356" t="n"/>
      <c r="V33" s="356" t="n"/>
      <c r="W33" s="356" t="n"/>
      <c r="X33" s="357" t="n"/>
    </row>
    <row r="34" ht="16.15" customHeight="1" s="257" thickBot="1">
      <c r="A34" s="352" t="n">
        <v>45077</v>
      </c>
      <c r="B34" s="71" t="inlineStr">
        <is>
          <t>日</t>
        </is>
      </c>
      <c r="C34" s="346" t="n"/>
      <c r="D34" s="60" t="inlineStr">
        <is>
          <t>ー</t>
        </is>
      </c>
      <c r="E34" s="347" t="n"/>
      <c r="F34" s="348" t="n"/>
      <c r="G34" s="358" t="n"/>
      <c r="I34" s="349" t="n"/>
      <c r="J34" s="238" t="n"/>
      <c r="K34" s="349" t="n"/>
      <c r="L34" s="349" t="n"/>
      <c r="M34" s="352" t="n">
        <v>45138</v>
      </c>
      <c r="N34" s="71" t="inlineStr">
        <is>
          <t>金</t>
        </is>
      </c>
      <c r="O34" s="346" t="n"/>
      <c r="P34" s="60" t="inlineStr">
        <is>
          <t>ー</t>
        </is>
      </c>
      <c r="Q34" s="347" t="n"/>
      <c r="R34" s="348" t="n"/>
      <c r="S34" s="238" t="n"/>
      <c r="T34" s="238" t="inlineStr">
        <is>
          <t>月</t>
        </is>
      </c>
    </row>
    <row r="35" ht="14.45" customHeight="1" s="257">
      <c r="A35" s="78" t="inlineStr">
        <is>
          <t>◇</t>
        </is>
      </c>
      <c r="B35" s="80" t="inlineStr">
        <is>
          <t>審判は、投手板・打者席に「水」をまき整備し、ラインは紐を使い真っ直ぐに引く。</t>
        </is>
      </c>
      <c r="C35" s="80" t="n"/>
      <c r="D35" s="80" t="n"/>
      <c r="E35" s="80" t="n"/>
      <c r="F35" s="80" t="n"/>
      <c r="G35" s="80" t="n"/>
      <c r="H35" s="80" t="n"/>
      <c r="I35" s="80" t="n"/>
      <c r="J35" s="80" t="n"/>
      <c r="K35" s="80" t="n"/>
      <c r="L35" s="80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</row>
    <row r="36" ht="14.45" customHeight="1" s="257">
      <c r="A36" s="78" t="inlineStr">
        <is>
          <t>◇</t>
        </is>
      </c>
      <c r="B36" s="80" t="inlineStr">
        <is>
          <t>「たばこ」や「ゴミ」を捨てないように。ゴミは必ずチームで持ち帰ること。</t>
        </is>
      </c>
      <c r="C36" s="80" t="n"/>
      <c r="D36" s="80" t="n"/>
      <c r="E36" s="80" t="n"/>
      <c r="F36" s="80" t="n"/>
      <c r="G36" s="80" t="n"/>
      <c r="H36" s="80" t="n"/>
      <c r="I36" s="80" t="n"/>
      <c r="J36" s="80" t="n"/>
      <c r="K36" s="80" t="n"/>
      <c r="L36" s="80" t="n"/>
      <c r="M36" s="81" t="n"/>
      <c r="N36" s="81" t="n"/>
      <c r="O36" s="81" t="n"/>
      <c r="P36" s="81" t="n"/>
      <c r="Q36" s="81" t="n"/>
      <c r="R36" s="81" t="n"/>
      <c r="S36" s="81" t="n"/>
      <c r="T36" s="81" t="n"/>
      <c r="U36" s="81" t="n"/>
      <c r="V36" s="81" t="n"/>
      <c r="W36" s="81" t="n"/>
      <c r="X36" s="81" t="n"/>
    </row>
    <row r="37" ht="14.45" customHeight="1" s="257">
      <c r="A37" s="78" t="n"/>
      <c r="B37" s="80" t="inlineStr">
        <is>
          <t>※市営球場は施設内全面禁煙となります。</t>
        </is>
      </c>
      <c r="C37" s="80" t="n"/>
      <c r="D37" s="80" t="n"/>
      <c r="E37" s="80" t="n"/>
      <c r="F37" s="80" t="n"/>
      <c r="G37" s="80" t="n"/>
      <c r="H37" s="80" t="n"/>
      <c r="I37" s="80" t="n"/>
      <c r="J37" s="80" t="n"/>
      <c r="K37" s="80" t="n"/>
      <c r="L37" s="80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</row>
    <row r="38" ht="14.45" customHeight="1" s="257">
      <c r="A38" s="78" t="n"/>
      <c r="B38" s="80" t="n"/>
      <c r="C38" s="80" t="n"/>
      <c r="D38" s="80" t="n"/>
      <c r="E38" s="80" t="n"/>
      <c r="F38" s="80" t="n"/>
      <c r="G38" s="80" t="n"/>
      <c r="H38" s="80" t="n"/>
      <c r="I38" s="80" t="n"/>
      <c r="J38" s="80" t="n"/>
      <c r="K38" s="80" t="n"/>
      <c r="L38" s="80" t="n"/>
      <c r="M38" s="81" t="n"/>
      <c r="N38" s="81" t="n"/>
      <c r="O38" s="81" t="n"/>
      <c r="P38" s="81" t="n"/>
      <c r="Q38" s="81" t="n"/>
      <c r="R38" s="81" t="n"/>
      <c r="S38" s="81" t="n"/>
      <c r="T38" s="81" t="n"/>
      <c r="U38" s="81" t="n"/>
      <c r="V38" s="81" t="n"/>
      <c r="W38" s="81" t="n"/>
      <c r="X38" s="81" t="n"/>
    </row>
    <row r="39" ht="14.45" customHeight="1" s="257">
      <c r="A39" s="78" t="n"/>
      <c r="B39" s="80" t="inlineStr">
        <is>
          <t xml:space="preserve">　　　　　　メンバー表交換　・・・・・　５時10分　（提出できないチームは不戦敗）</t>
        </is>
      </c>
      <c r="C39" s="80" t="n"/>
      <c r="D39" s="80" t="n"/>
      <c r="E39" s="80" t="n"/>
      <c r="F39" s="80" t="n"/>
      <c r="G39" s="80" t="n"/>
      <c r="H39" s="80" t="n"/>
      <c r="I39" s="80" t="n"/>
      <c r="J39" s="80" t="n"/>
      <c r="K39" s="80" t="n"/>
      <c r="L39" s="80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</row>
    <row r="40" ht="14.45" customHeight="1" s="257">
      <c r="A40" s="78" t="n"/>
      <c r="B40" s="80" t="inlineStr">
        <is>
          <t xml:space="preserve">　　　　　　試合時間　　　 　・・・・・　５時１５分～６時４５分</t>
        </is>
      </c>
      <c r="C40" s="80" t="n"/>
      <c r="D40" s="80" t="n"/>
      <c r="E40" s="80" t="n"/>
      <c r="F40" s="80" t="n"/>
      <c r="G40" s="80" t="n"/>
      <c r="H40" s="80" t="n"/>
      <c r="I40" s="80" t="n"/>
      <c r="J40" s="80" t="n"/>
      <c r="K40" s="80" t="n"/>
      <c r="L40" s="80" t="n"/>
      <c r="M40" s="81" t="n"/>
      <c r="N40" s="81" t="n"/>
      <c r="O40" s="81" t="n"/>
      <c r="P40" s="81" t="n"/>
      <c r="Q40" s="81" t="n"/>
      <c r="R40" s="81" t="n"/>
      <c r="S40" s="81" t="n"/>
      <c r="T40" s="81" t="n"/>
      <c r="U40" s="81" t="n"/>
      <c r="V40" s="81" t="n"/>
      <c r="W40" s="81" t="n"/>
      <c r="X40" s="81" t="n"/>
    </row>
    <row r="41" ht="14.45" customHeight="1" s="257">
      <c r="A41" s="78" t="n"/>
      <c r="B41" s="80" t="n"/>
      <c r="C41" s="80" t="n"/>
      <c r="D41" s="80" t="n"/>
      <c r="E41" s="80" t="n"/>
      <c r="F41" s="80" t="inlineStr">
        <is>
          <t xml:space="preserve">　　　※ 6時40分を越えて新しいイニングには入らない</t>
        </is>
      </c>
      <c r="G41" s="80" t="n"/>
      <c r="H41" s="80" t="n"/>
      <c r="I41" s="80" t="n"/>
      <c r="J41" s="80" t="n"/>
      <c r="K41" s="80" t="n"/>
      <c r="L41" s="80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</row>
    <row r="42" ht="14.45" customHeight="1" s="257">
      <c r="A42" s="79" t="n"/>
      <c r="B42" s="80" t="inlineStr">
        <is>
          <t xml:space="preserve">　　　　　　◆　捕手は、「防具」を着用し整列する。（時間短縮の為）</t>
        </is>
      </c>
      <c r="C42" s="80" t="n"/>
      <c r="D42" s="80" t="n"/>
      <c r="E42" s="80" t="n"/>
      <c r="F42" s="80" t="n"/>
      <c r="G42" s="80" t="n"/>
      <c r="H42" s="80" t="n"/>
      <c r="I42" s="80" t="n"/>
      <c r="J42" s="80" t="n"/>
      <c r="K42" s="80" t="n"/>
      <c r="L42" s="80" t="n"/>
      <c r="M42" s="81" t="n"/>
      <c r="N42" s="81" t="n"/>
      <c r="O42" s="81" t="n"/>
      <c r="P42" s="81" t="n"/>
      <c r="Q42" s="81" t="n"/>
      <c r="R42" s="81" t="n"/>
      <c r="S42" s="81" t="n"/>
      <c r="T42" s="81" t="n"/>
      <c r="U42" s="81" t="n"/>
      <c r="V42" s="81" t="n"/>
      <c r="W42" s="81" t="n"/>
      <c r="X42" s="81" t="n"/>
    </row>
  </sheetData>
  <mergeCells count="22">
    <mergeCell ref="M2:R2"/>
    <mergeCell ref="S2:X2"/>
    <mergeCell ref="T30:X30"/>
    <mergeCell ref="T24:X24"/>
    <mergeCell ref="T33:X33"/>
    <mergeCell ref="T29:X29"/>
    <mergeCell ref="T32:X32"/>
    <mergeCell ref="I3:K3"/>
    <mergeCell ref="U3:W3"/>
    <mergeCell ref="A2:F2"/>
    <mergeCell ref="T1:V1"/>
    <mergeCell ref="T25:X25"/>
    <mergeCell ref="T26:X26"/>
    <mergeCell ref="A1:S1"/>
    <mergeCell ref="C3:E3"/>
    <mergeCell ref="T23:X23"/>
    <mergeCell ref="O3:Q3"/>
    <mergeCell ref="T31:X31"/>
    <mergeCell ref="G2:L2"/>
    <mergeCell ref="T34:X34"/>
    <mergeCell ref="T28:X28"/>
    <mergeCell ref="T27:X27"/>
  </mergeCells>
  <conditionalFormatting sqref="B4:B34">
    <cfRule type="containsText" priority="1" operator="containsText" dxfId="4" text="土">
      <formula>NOT(ISERROR(SEARCH("土",B4)))</formula>
    </cfRule>
    <cfRule type="containsText" priority="2" operator="containsText" dxfId="0" text="日">
      <formula>NOT(ISERROR(SEARCH("日",B4)))</formula>
    </cfRule>
  </conditionalFormatting>
  <conditionalFormatting sqref="H4:H34 N4:N34 T4:T21">
    <cfRule type="containsText" priority="3" operator="containsText" dxfId="4" text="土">
      <formula>NOT(ISERROR(SEARCH("土",H4)))</formula>
    </cfRule>
    <cfRule type="containsText" priority="4" operator="containsText" dxfId="0" text="日">
      <formula>NOT(ISERROR(SEARCH("日",H4)))</formula>
    </cfRule>
  </conditionalFormatting>
  <conditionalFormatting sqref="X3">
    <cfRule type="containsText" priority="5" operator="containsText" dxfId="2" text="土">
      <formula>NOT(ISERROR(SEARCH("土",X3)))</formula>
    </cfRule>
  </conditionalFormatting>
  <pageMargins left="0.3" right="0.3" top="0.4" bottom="0.4" header="0.3" footer="0.3"/>
  <pageSetup orientation="landscape" paperSize="9" fitToHeight="1" fitToWidth="1" horizontalDpi="360" verticalDpi="360"/>
</worksheet>
</file>

<file path=xl/worksheets/sheet3.xml><?xml version="1.0" encoding="utf-8"?>
<worksheet xmlns="http://schemas.openxmlformats.org/spreadsheetml/2006/main">
  <sheetPr codeName="Sheet1">
    <outlinePr summaryBelow="1" summaryRight="1"/>
    <pageSetUpPr/>
  </sheetPr>
  <dimension ref="A1:N1"/>
  <sheetViews>
    <sheetView topLeftCell="A10" zoomScale="75" zoomScaleNormal="75" workbookViewId="0">
      <selection activeCell="A2" sqref="A2"/>
    </sheetView>
  </sheetViews>
  <sheetFormatPr baseColWidth="8" defaultRowHeight="18"/>
  <sheetData>
    <row r="1" ht="26.25" customHeight="1" s="257">
      <c r="A1" s="3" t="inlineStr">
        <is>
          <t>リーグ戦 勝敗表 使い方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</row>
  </sheetData>
  <pageMargins left="0.7" right="0.7" top="0.75" bottom="0.75" header="0.3" footer="0.3"/>
  <pageSetup orientation="landscape" paperSize="9" scale="86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34"/>
  <sheetViews>
    <sheetView showGridLines="0" zoomScaleNormal="100" workbookViewId="0">
      <pane xSplit="1" ySplit="3" topLeftCell="B4" activePane="bottomRight" state="frozen"/>
      <selection pane="bottomRight" activeCell="D29" sqref="D29"/>
      <selection pane="bottomLeft" activeCell="D29" sqref="D29"/>
      <selection pane="topRight" activeCell="D29" sqref="D29"/>
    </sheetView>
  </sheetViews>
  <sheetFormatPr baseColWidth="8" defaultColWidth="0" defaultRowHeight="18" zeroHeight="1"/>
  <cols>
    <col width="2.44140625" customWidth="1" style="17" min="1" max="1"/>
    <col width="2" customWidth="1" style="17" min="2" max="5"/>
    <col width="8" customWidth="1" style="257" min="3" max="3"/>
    <col width="2.5" customWidth="1" style="257" min="4" max="4"/>
    <col width="11" customWidth="1" style="17" min="6" max="6"/>
    <col width="2" customWidth="1" style="17" min="7" max="8"/>
    <col width="8" customWidth="1" style="18" min="9" max="9"/>
    <col width="2.5" customWidth="1" style="17" min="10" max="11"/>
    <col width="11" customWidth="1" style="17" min="12" max="12"/>
    <col width="2" customWidth="1" style="17" min="13" max="17"/>
    <col width="8" customWidth="1" style="257" min="15" max="15"/>
    <col width="2.5" customWidth="1" style="257" min="16" max="16"/>
    <col width="11" customWidth="1" style="17" min="18" max="18"/>
    <col width="2" customWidth="1" style="17" min="19" max="23"/>
    <col width="8" customWidth="1" style="257" min="21" max="21"/>
    <col width="2.5" customWidth="1" style="257" min="22" max="22"/>
    <col width="11" customWidth="1" style="17" min="24" max="24"/>
    <col width="0.6640625" customWidth="1" style="17" min="25" max="25"/>
    <col hidden="1" width="7.77734375" customWidth="1" style="17" min="26" max="16384"/>
  </cols>
  <sheetData>
    <row r="1">
      <c r="A1" s="255" t="inlineStr">
        <is>
          <t>朝野球日程表</t>
        </is>
      </c>
      <c r="T1" s="256">
        <f>日程表１!T1</f>
        <v/>
      </c>
      <c r="U1" s="326" t="n"/>
      <c r="V1" s="326" t="n"/>
      <c r="W1" s="255" t="inlineStr">
        <is>
          <t>年</t>
        </is>
      </c>
      <c r="X1" s="255" t="n"/>
    </row>
    <row r="2" ht="16.15" customHeight="1" s="257">
      <c r="A2" s="251" t="inlineStr">
        <is>
          <t>5月</t>
        </is>
      </c>
      <c r="B2" s="278" t="n"/>
      <c r="C2" s="278" t="n"/>
      <c r="D2" s="278" t="n"/>
      <c r="E2" s="278" t="n"/>
      <c r="F2" s="279" t="n"/>
      <c r="G2" s="251" t="inlineStr">
        <is>
          <t>6月</t>
        </is>
      </c>
      <c r="H2" s="278" t="n"/>
      <c r="I2" s="278" t="n"/>
      <c r="J2" s="278" t="n"/>
      <c r="K2" s="278" t="n"/>
      <c r="L2" s="279" t="n"/>
      <c r="M2" s="251" t="inlineStr">
        <is>
          <t>7月</t>
        </is>
      </c>
      <c r="N2" s="278" t="n"/>
      <c r="O2" s="278" t="n"/>
      <c r="P2" s="278" t="n"/>
      <c r="Q2" s="278" t="n"/>
      <c r="R2" s="279" t="n"/>
      <c r="S2" s="251" t="inlineStr">
        <is>
          <t>8月</t>
        </is>
      </c>
      <c r="T2" s="278" t="n"/>
      <c r="U2" s="278" t="n"/>
      <c r="V2" s="278" t="n"/>
      <c r="W2" s="278" t="n"/>
      <c r="X2" s="279" t="n"/>
    </row>
    <row r="3">
      <c r="A3" s="251" t="inlineStr">
        <is>
          <t>日</t>
        </is>
      </c>
      <c r="B3" s="251" t="inlineStr">
        <is>
          <t>曜日</t>
        </is>
      </c>
      <c r="C3" s="251" t="inlineStr">
        <is>
          <t>対戦チーム</t>
        </is>
      </c>
      <c r="D3" s="278" t="n"/>
      <c r="E3" s="279" t="n"/>
      <c r="F3" s="251" t="inlineStr">
        <is>
          <t>審判</t>
        </is>
      </c>
      <c r="G3" s="251" t="inlineStr">
        <is>
          <t>日</t>
        </is>
      </c>
      <c r="H3" s="251" t="inlineStr">
        <is>
          <t>曜日</t>
        </is>
      </c>
      <c r="I3" s="251" t="inlineStr">
        <is>
          <t>対戦チーム</t>
        </is>
      </c>
      <c r="J3" s="278" t="n"/>
      <c r="K3" s="279" t="n"/>
      <c r="L3" s="251" t="inlineStr">
        <is>
          <t>審判</t>
        </is>
      </c>
      <c r="M3" s="251" t="inlineStr">
        <is>
          <t>日</t>
        </is>
      </c>
      <c r="N3" s="251" t="inlineStr">
        <is>
          <t>曜日</t>
        </is>
      </c>
      <c r="O3" s="251" t="inlineStr">
        <is>
          <t>対戦チーム</t>
        </is>
      </c>
      <c r="P3" s="278" t="n"/>
      <c r="Q3" s="279" t="n"/>
      <c r="R3" s="251" t="inlineStr">
        <is>
          <t>審判</t>
        </is>
      </c>
      <c r="S3" s="251" t="inlineStr">
        <is>
          <t>日</t>
        </is>
      </c>
      <c r="T3" s="251" t="inlineStr">
        <is>
          <t>曜日</t>
        </is>
      </c>
      <c r="U3" s="251" t="inlineStr">
        <is>
          <t>対戦チーム</t>
        </is>
      </c>
      <c r="V3" s="278" t="n"/>
      <c r="W3" s="279" t="n"/>
      <c r="X3" s="251" t="inlineStr">
        <is>
          <t>審判</t>
        </is>
      </c>
    </row>
    <row r="4" ht="20.45" customHeight="1" s="257">
      <c r="A4" s="359">
        <f>日程表１!A4</f>
        <v/>
      </c>
      <c r="B4" s="25">
        <f>日程表１!B4</f>
        <v/>
      </c>
      <c r="C4" s="331" t="n"/>
      <c r="D4" s="27" t="inlineStr">
        <is>
          <t>ー</t>
        </is>
      </c>
      <c r="E4" s="332" t="n"/>
      <c r="F4" s="360" t="n"/>
      <c r="G4" s="359">
        <f>日程表１!G4</f>
        <v/>
      </c>
      <c r="H4" s="29">
        <f>日程表１!H4</f>
        <v/>
      </c>
      <c r="I4" s="331" t="n"/>
      <c r="J4" s="27" t="inlineStr">
        <is>
          <t>ー</t>
        </is>
      </c>
      <c r="K4" s="332" t="n"/>
      <c r="L4" s="360" t="n"/>
      <c r="M4" s="359">
        <f>日程表１!M4</f>
        <v/>
      </c>
      <c r="N4" s="29">
        <f>日程表１!N4</f>
        <v/>
      </c>
      <c r="O4" s="331">
        <f>IFERROR(VLOOKUP(3,リーグ勝敗表!$AZ$6:$BA$11,2,0),"3")</f>
        <v/>
      </c>
      <c r="P4" s="27" t="inlineStr">
        <is>
          <t>ー</t>
        </is>
      </c>
      <c r="Q4" s="332">
        <f>IFERROR(VLOOKUP(4,リーグ勝敗表!$AZ$6:$BA$11,2,0),"4")</f>
        <v/>
      </c>
      <c r="R4" s="360">
        <f>IFERROR(VLOOKUP(1,リーグ勝敗表!$AZ$6:$BA$11,2,0),"1")&amp;"-"&amp;IFERROR(VLOOKUP(5,リーグ勝敗表!$AZ$6:$BA$11,2,0),"5")</f>
        <v/>
      </c>
      <c r="S4" s="359">
        <f>日程表１!S5</f>
        <v/>
      </c>
      <c r="T4" s="29">
        <f>日程表１!T5</f>
        <v/>
      </c>
      <c r="U4" s="331" t="n"/>
      <c r="V4" s="27" t="inlineStr">
        <is>
          <t>ー</t>
        </is>
      </c>
      <c r="W4" s="361" t="n"/>
      <c r="X4" s="362" t="n"/>
    </row>
    <row r="5" ht="20.45" customHeight="1" s="257">
      <c r="A5" s="359">
        <f>日程表１!A5</f>
        <v/>
      </c>
      <c r="B5" s="25">
        <f>日程表１!B5</f>
        <v/>
      </c>
      <c r="C5" s="340" t="n"/>
      <c r="D5" s="253" t="inlineStr">
        <is>
          <t>ー</t>
        </is>
      </c>
      <c r="E5" s="341" t="n"/>
      <c r="F5" s="360" t="n"/>
      <c r="G5" s="359">
        <f>日程表１!G5</f>
        <v/>
      </c>
      <c r="H5" s="29">
        <f>日程表１!H5</f>
        <v/>
      </c>
      <c r="I5" s="340">
        <f>IFERROR(VLOOKUP(1,リーグ勝敗表!$AZ$6:$BA$11,2,0),"1")</f>
        <v/>
      </c>
      <c r="J5" s="253" t="inlineStr">
        <is>
          <t>ー</t>
        </is>
      </c>
      <c r="K5" s="341">
        <f>IFERROR(VLOOKUP(6,リーグ勝敗表!$AZ$6:$BA$11,2,0),"6")</f>
        <v/>
      </c>
      <c r="L5" s="360">
        <f>IFERROR(VLOOKUP(2,リーグ勝敗表!$AZ$6:$BA$11,2,0),"2")&amp;"-"&amp;IFERROR(VLOOKUP(4,リーグ勝敗表!$AZ$6:$BA$11,2,0),"4")</f>
        <v/>
      </c>
      <c r="M5" s="359">
        <f>日程表１!M5</f>
        <v/>
      </c>
      <c r="N5" s="29">
        <f>日程表１!N5</f>
        <v/>
      </c>
      <c r="O5" s="340">
        <f>IFERROR(VLOOKUP(2,リーグ勝敗表!$AZ$6:$BA$11,2,0),"2")</f>
        <v/>
      </c>
      <c r="P5" s="253" t="inlineStr">
        <is>
          <t>ー</t>
        </is>
      </c>
      <c r="Q5" s="341">
        <f>IFERROR(VLOOKUP(6,リーグ勝敗表!$AZ$6:$BA$11,2,0),"6")</f>
        <v/>
      </c>
      <c r="R5" s="360">
        <f>IFERROR(VLOOKUP(3,リーグ勝敗表!$AZ$6:$BA$11,2,0),"3")&amp;"-"&amp;IFERROR(VLOOKUP(4,リーグ勝敗表!$AZ$6:$BA$11,2,0),"4")</f>
        <v/>
      </c>
      <c r="S5" s="359">
        <f>日程表１!S6</f>
        <v/>
      </c>
      <c r="T5" s="29">
        <f>日程表１!T6</f>
        <v/>
      </c>
      <c r="U5" s="340" t="n"/>
      <c r="V5" s="253" t="inlineStr">
        <is>
          <t>ー</t>
        </is>
      </c>
      <c r="W5" s="363" t="n"/>
      <c r="X5" s="362" t="n"/>
    </row>
    <row r="6" ht="20.45" customHeight="1" s="257">
      <c r="A6" s="359">
        <f>日程表１!A6</f>
        <v/>
      </c>
      <c r="B6" s="25">
        <f>日程表１!B6</f>
        <v/>
      </c>
      <c r="C6" s="340" t="n"/>
      <c r="D6" s="253" t="inlineStr">
        <is>
          <t>ー</t>
        </is>
      </c>
      <c r="E6" s="341" t="n"/>
      <c r="F6" s="360" t="n"/>
      <c r="G6" s="359">
        <f>日程表１!G6</f>
        <v/>
      </c>
      <c r="H6" s="29">
        <f>日程表１!H6</f>
        <v/>
      </c>
      <c r="I6" s="340">
        <f>IFERROR(VLOOKUP(2,リーグ勝敗表!$AZ$6:$BA$11,2,0),"2")</f>
        <v/>
      </c>
      <c r="J6" s="253" t="inlineStr">
        <is>
          <t>ー</t>
        </is>
      </c>
      <c r="K6" s="341">
        <f>IFERROR(VLOOKUP(3,リーグ勝敗表!$AZ$6:$BA$11,2,0),"3")</f>
        <v/>
      </c>
      <c r="L6" s="360">
        <f>IFERROR(VLOOKUP(1,リーグ勝敗表!$AZ$6:$BA$11,2,0),"1")&amp;"-"&amp;IFERROR(VLOOKUP(6,リーグ勝敗表!$AZ$6:$BA$11,2,0),"6")</f>
        <v/>
      </c>
      <c r="M6" s="359">
        <f>日程表１!M6</f>
        <v/>
      </c>
      <c r="N6" s="29">
        <f>日程表１!N6</f>
        <v/>
      </c>
      <c r="O6" s="340" t="n"/>
      <c r="P6" s="253" t="inlineStr">
        <is>
          <t>ー</t>
        </is>
      </c>
      <c r="Q6" s="341" t="n"/>
      <c r="R6" s="360" t="n"/>
      <c r="S6" s="359">
        <f>日程表１!S7</f>
        <v/>
      </c>
      <c r="T6" s="29">
        <f>日程表１!T7</f>
        <v/>
      </c>
      <c r="U6" s="340" t="n"/>
      <c r="V6" s="253" t="inlineStr">
        <is>
          <t>ー</t>
        </is>
      </c>
      <c r="W6" s="363" t="n"/>
      <c r="X6" s="362" t="n"/>
    </row>
    <row r="7" ht="20.45" customHeight="1" s="257">
      <c r="A7" s="359">
        <f>日程表１!A7</f>
        <v/>
      </c>
      <c r="B7" s="25">
        <f>日程表１!B7</f>
        <v/>
      </c>
      <c r="C7" s="340" t="n"/>
      <c r="D7" s="253" t="inlineStr">
        <is>
          <t>ー</t>
        </is>
      </c>
      <c r="E7" s="341" t="n"/>
      <c r="F7" s="360" t="n"/>
      <c r="G7" s="359">
        <f>日程表１!G7</f>
        <v/>
      </c>
      <c r="H7" s="29">
        <f>日程表１!H7</f>
        <v/>
      </c>
      <c r="I7" s="340">
        <f>IFERROR(VLOOKUP(4,リーグ勝敗表!$AZ$6:$BA$11,2,0),"4")</f>
        <v/>
      </c>
      <c r="J7" s="253" t="inlineStr">
        <is>
          <t>ー</t>
        </is>
      </c>
      <c r="K7" s="341">
        <f>IFERROR(VLOOKUP(5,リーグ勝敗表!$AZ$6:$BA$11,2,0),"5")</f>
        <v/>
      </c>
      <c r="L7" s="360">
        <f>IFERROR(VLOOKUP(2,リーグ勝敗表!$AZ$6:$BA$11,2,0),"2")&amp;"-"&amp;IFERROR(VLOOKUP(3,リーグ勝敗表!$AZ$6:$BA$11,2,0),"3")</f>
        <v/>
      </c>
      <c r="M7" s="359">
        <f>日程表１!M7</f>
        <v/>
      </c>
      <c r="N7" s="29">
        <f>日程表１!N7</f>
        <v/>
      </c>
      <c r="O7" s="340" t="n"/>
      <c r="P7" s="253" t="inlineStr">
        <is>
          <t>ー</t>
        </is>
      </c>
      <c r="Q7" s="341" t="n"/>
      <c r="R7" s="360" t="n"/>
      <c r="S7" s="359">
        <f>日程表１!S8</f>
        <v/>
      </c>
      <c r="T7" s="29">
        <f>日程表１!T8</f>
        <v/>
      </c>
      <c r="U7" s="340" t="n"/>
      <c r="V7" s="253" t="inlineStr">
        <is>
          <t>ー</t>
        </is>
      </c>
      <c r="W7" s="363" t="n"/>
      <c r="X7" s="362" t="n"/>
    </row>
    <row r="8" ht="20.45" customHeight="1" s="257">
      <c r="A8" s="359">
        <f>日程表１!A8</f>
        <v/>
      </c>
      <c r="B8" s="25">
        <f>日程表１!B8</f>
        <v/>
      </c>
      <c r="C8" s="340" t="n"/>
      <c r="D8" s="253" t="inlineStr">
        <is>
          <t>ー</t>
        </is>
      </c>
      <c r="E8" s="341" t="n"/>
      <c r="F8" s="360" t="n"/>
      <c r="G8" s="359">
        <f>日程表１!G8</f>
        <v/>
      </c>
      <c r="H8" s="29">
        <f>日程表１!H8</f>
        <v/>
      </c>
      <c r="I8" s="342" t="n"/>
      <c r="J8" s="44" t="inlineStr">
        <is>
          <t>ー</t>
        </is>
      </c>
      <c r="K8" s="343" t="n"/>
      <c r="L8" s="360" t="n"/>
      <c r="M8" s="359">
        <f>日程表１!M8</f>
        <v/>
      </c>
      <c r="N8" s="29">
        <f>日程表１!N8</f>
        <v/>
      </c>
      <c r="O8" s="340" t="n"/>
      <c r="P8" s="253" t="inlineStr">
        <is>
          <t>ー</t>
        </is>
      </c>
      <c r="Q8" s="341" t="n"/>
      <c r="R8" s="360" t="n"/>
      <c r="S8" s="359">
        <f>日程表１!S9</f>
        <v/>
      </c>
      <c r="T8" s="29">
        <f>日程表１!T9</f>
        <v/>
      </c>
      <c r="U8" s="340" t="n"/>
      <c r="V8" s="253" t="inlineStr">
        <is>
          <t>ー</t>
        </is>
      </c>
      <c r="W8" s="363" t="n"/>
      <c r="X8" s="362" t="n"/>
    </row>
    <row r="9" ht="20.45" customHeight="1" s="257">
      <c r="A9" s="359">
        <f>日程表１!A9</f>
        <v/>
      </c>
      <c r="B9" s="25">
        <f>日程表１!B9</f>
        <v/>
      </c>
      <c r="C9" s="340" t="n"/>
      <c r="D9" s="253" t="inlineStr">
        <is>
          <t>ー</t>
        </is>
      </c>
      <c r="E9" s="341" t="n"/>
      <c r="F9" s="360" t="n"/>
      <c r="G9" s="359">
        <f>日程表１!G9</f>
        <v/>
      </c>
      <c r="H9" s="29">
        <f>日程表１!H9</f>
        <v/>
      </c>
      <c r="I9" s="340" t="n"/>
      <c r="J9" s="253" t="inlineStr">
        <is>
          <t>ー</t>
        </is>
      </c>
      <c r="K9" s="341" t="n"/>
      <c r="L9" s="360" t="n"/>
      <c r="M9" s="359">
        <f>日程表１!M9</f>
        <v/>
      </c>
      <c r="N9" s="29">
        <f>日程表１!N9</f>
        <v/>
      </c>
      <c r="O9" s="340" t="n"/>
      <c r="P9" s="253" t="inlineStr">
        <is>
          <t>ー</t>
        </is>
      </c>
      <c r="Q9" s="341" t="n"/>
      <c r="R9" s="360" t="n"/>
      <c r="S9" s="359">
        <f>日程表１!S10</f>
        <v/>
      </c>
      <c r="T9" s="29">
        <f>日程表１!T10</f>
        <v/>
      </c>
      <c r="U9" s="340" t="n"/>
      <c r="V9" s="253" t="inlineStr">
        <is>
          <t>ー</t>
        </is>
      </c>
      <c r="W9" s="363" t="n"/>
      <c r="X9" s="362" t="n"/>
    </row>
    <row r="10" ht="20.45" customHeight="1" s="257">
      <c r="A10" s="359">
        <f>日程表１!A10</f>
        <v/>
      </c>
      <c r="B10" s="25">
        <f>日程表１!B10</f>
        <v/>
      </c>
      <c r="C10" s="340" t="n"/>
      <c r="D10" s="253" t="inlineStr">
        <is>
          <t>ー</t>
        </is>
      </c>
      <c r="E10" s="341" t="n"/>
      <c r="F10" s="360" t="n"/>
      <c r="G10" s="359">
        <f>日程表１!G10</f>
        <v/>
      </c>
      <c r="H10" s="29">
        <f>日程表１!H10</f>
        <v/>
      </c>
      <c r="I10" s="340" t="n"/>
      <c r="J10" s="253" t="inlineStr">
        <is>
          <t>ー</t>
        </is>
      </c>
      <c r="K10" s="341" t="n"/>
      <c r="L10" s="360" t="n"/>
      <c r="M10" s="359">
        <f>日程表１!M10</f>
        <v/>
      </c>
      <c r="N10" s="29">
        <f>日程表１!N10</f>
        <v/>
      </c>
      <c r="O10" s="340" t="n"/>
      <c r="P10" s="253" t="inlineStr">
        <is>
          <t>ー</t>
        </is>
      </c>
      <c r="Q10" s="341" t="n"/>
      <c r="R10" s="360" t="n"/>
      <c r="S10" s="359">
        <f>日程表１!S11</f>
        <v/>
      </c>
      <c r="T10" s="29">
        <f>日程表１!T11</f>
        <v/>
      </c>
      <c r="U10" s="340" t="n"/>
      <c r="V10" s="253" t="inlineStr">
        <is>
          <t>ー</t>
        </is>
      </c>
      <c r="W10" s="363" t="n"/>
      <c r="X10" s="362" t="n"/>
    </row>
    <row r="11" ht="20.45" customHeight="1" s="257">
      <c r="A11" s="359">
        <f>日程表１!A11</f>
        <v/>
      </c>
      <c r="B11" s="25">
        <f>日程表１!B11</f>
        <v/>
      </c>
      <c r="C11" s="342" t="n"/>
      <c r="D11" s="44" t="inlineStr">
        <is>
          <t>ー</t>
        </is>
      </c>
      <c r="E11" s="343" t="n"/>
      <c r="F11" s="360" t="n"/>
      <c r="G11" s="359">
        <f>日程表１!G11</f>
        <v/>
      </c>
      <c r="H11" s="29">
        <f>日程表１!H11</f>
        <v/>
      </c>
      <c r="I11" s="340" t="n"/>
      <c r="J11" s="253" t="inlineStr">
        <is>
          <t>ー</t>
        </is>
      </c>
      <c r="K11" s="341" t="n"/>
      <c r="L11" s="360" t="n"/>
      <c r="M11" s="359">
        <f>日程表１!M11</f>
        <v/>
      </c>
      <c r="N11" s="29">
        <f>日程表１!N11</f>
        <v/>
      </c>
      <c r="O11" s="340" t="n"/>
      <c r="P11" s="253" t="inlineStr">
        <is>
          <t>ー</t>
        </is>
      </c>
      <c r="Q11" s="341" t="n"/>
      <c r="R11" s="360" t="n"/>
      <c r="S11" s="359">
        <f>日程表１!S12</f>
        <v/>
      </c>
      <c r="T11" s="29">
        <f>日程表１!T12</f>
        <v/>
      </c>
      <c r="U11" s="340" t="n"/>
      <c r="V11" s="253" t="inlineStr">
        <is>
          <t>ー</t>
        </is>
      </c>
      <c r="W11" s="363" t="n"/>
      <c r="X11" s="362" t="n"/>
    </row>
    <row r="12" ht="20.45" customHeight="1" s="257">
      <c r="A12" s="359">
        <f>日程表１!A12</f>
        <v/>
      </c>
      <c r="B12" s="29">
        <f>日程表１!B12</f>
        <v/>
      </c>
      <c r="C12" s="340" t="n"/>
      <c r="D12" s="253" t="inlineStr">
        <is>
          <t>ー</t>
        </is>
      </c>
      <c r="E12" s="341" t="n"/>
      <c r="F12" s="360" t="n"/>
      <c r="G12" s="359">
        <f>日程表１!G12</f>
        <v/>
      </c>
      <c r="H12" s="29">
        <f>日程表１!H12</f>
        <v/>
      </c>
      <c r="I12" s="340">
        <f>IFERROR(VLOOKUP(1,リーグ勝敗表!$AZ$6:$BA$11,2,0),"1")</f>
        <v/>
      </c>
      <c r="J12" s="253" t="inlineStr">
        <is>
          <t>ー</t>
        </is>
      </c>
      <c r="K12" s="341">
        <f>IFERROR(VLOOKUP(2,リーグ勝敗表!$AZ$6:$BA$11,2,0),"2")</f>
        <v/>
      </c>
      <c r="L12" s="360">
        <f>IFERROR(VLOOKUP(4,リーグ勝敗表!$AZ$6:$BA$11,2,0),"4")&amp;"-"&amp;IFERROR(VLOOKUP(5,リーグ勝敗表!$AZ$6:$BA$11,2,0),"5")</f>
        <v/>
      </c>
      <c r="M12" s="359">
        <f>日程表１!M12</f>
        <v/>
      </c>
      <c r="N12" s="29">
        <f>日程表１!N12</f>
        <v/>
      </c>
      <c r="O12" s="340" t="n"/>
      <c r="P12" s="253" t="inlineStr">
        <is>
          <t>ー</t>
        </is>
      </c>
      <c r="Q12" s="341" t="n"/>
      <c r="R12" s="360" t="n"/>
      <c r="S12" s="359">
        <f>日程表１!S13</f>
        <v/>
      </c>
      <c r="T12" s="29">
        <f>日程表１!T13</f>
        <v/>
      </c>
      <c r="U12" s="340" t="n"/>
      <c r="V12" s="253" t="inlineStr">
        <is>
          <t>ー</t>
        </is>
      </c>
      <c r="W12" s="363" t="n"/>
      <c r="X12" s="362" t="n"/>
    </row>
    <row r="13" ht="20.45" customHeight="1" s="257">
      <c r="A13" s="359">
        <f>日程表１!A13</f>
        <v/>
      </c>
      <c r="B13" s="29">
        <f>日程表１!B13</f>
        <v/>
      </c>
      <c r="C13" s="340" t="n"/>
      <c r="D13" s="253" t="inlineStr">
        <is>
          <t>ー</t>
        </is>
      </c>
      <c r="E13" s="341" t="n"/>
      <c r="F13" s="360" t="n"/>
      <c r="G13" s="359">
        <f>日程表１!G13</f>
        <v/>
      </c>
      <c r="H13" s="29">
        <f>日程表１!H13</f>
        <v/>
      </c>
      <c r="I13" s="340">
        <f>IFERROR(VLOOKUP(3,リーグ勝敗表!$AZ$6:$BA$11,2,0),"3")</f>
        <v/>
      </c>
      <c r="J13" s="253" t="inlineStr">
        <is>
          <t>ー</t>
        </is>
      </c>
      <c r="K13" s="341">
        <f>IFERROR(VLOOKUP(5,リーグ勝敗表!$AZ$6:$BA$11,2,0),"5")</f>
        <v/>
      </c>
      <c r="L13" s="360">
        <f>IFERROR(VLOOKUP(1,リーグ勝敗表!$AZ$6:$BA$11,2,0),"1")&amp;"-"&amp;IFERROR(VLOOKUP(2,リーグ勝敗表!$AZ$6:$BA$11,2,0),"2")</f>
        <v/>
      </c>
      <c r="M13" s="359">
        <f>日程表１!M13</f>
        <v/>
      </c>
      <c r="N13" s="29">
        <f>日程表１!N13</f>
        <v/>
      </c>
      <c r="O13" s="340" t="n"/>
      <c r="P13" s="253" t="inlineStr">
        <is>
          <t>ー</t>
        </is>
      </c>
      <c r="Q13" s="341" t="n"/>
      <c r="R13" s="360" t="n"/>
      <c r="S13" s="359" t="n">
        <v>10</v>
      </c>
      <c r="T13" s="29" t="inlineStr">
        <is>
          <t>土</t>
        </is>
      </c>
      <c r="U13" s="340" t="n"/>
      <c r="V13" s="253" t="inlineStr">
        <is>
          <t>ー</t>
        </is>
      </c>
      <c r="W13" s="363" t="n"/>
      <c r="X13" s="362" t="n"/>
    </row>
    <row r="14" ht="20.45" customHeight="1" s="257">
      <c r="A14" s="359">
        <f>日程表１!A14</f>
        <v/>
      </c>
      <c r="B14" s="29">
        <f>日程表１!B14</f>
        <v/>
      </c>
      <c r="C14" s="340" t="n"/>
      <c r="D14" s="253" t="inlineStr">
        <is>
          <t>ー</t>
        </is>
      </c>
      <c r="E14" s="341" t="n"/>
      <c r="F14" s="360" t="n"/>
      <c r="G14" s="359">
        <f>日程表１!G14</f>
        <v/>
      </c>
      <c r="H14" s="29">
        <f>日程表１!H14</f>
        <v/>
      </c>
      <c r="I14" s="340">
        <f>IFERROR(VLOOKUP(4,リーグ勝敗表!$AZ$6:$BA$11,2,0),"4")</f>
        <v/>
      </c>
      <c r="J14" s="253" t="inlineStr">
        <is>
          <t>ー</t>
        </is>
      </c>
      <c r="K14" s="341">
        <f>IFERROR(VLOOKUP(6,リーグ勝敗表!$AZ$6:$BA$11,2,0),"6")</f>
        <v/>
      </c>
      <c r="L14" s="360">
        <f>IFERROR(VLOOKUP(3,リーグ勝敗表!$AZ$6:$BA$11,2,0),"3")&amp;"-"&amp;IFERROR(VLOOKUP(5,リーグ勝敗表!$AZ$6:$BA$11,2,0),"5")</f>
        <v/>
      </c>
      <c r="M14" s="359">
        <f>日程表１!M14</f>
        <v/>
      </c>
      <c r="N14" s="29">
        <f>日程表１!N14</f>
        <v/>
      </c>
      <c r="O14" s="340" t="n"/>
      <c r="P14" s="253" t="inlineStr">
        <is>
          <t>ー</t>
        </is>
      </c>
      <c r="Q14" s="341" t="n"/>
      <c r="R14" s="360" t="n"/>
      <c r="S14" s="256" t="n"/>
      <c r="T14" s="256" t="n"/>
      <c r="U14" s="349" t="n"/>
      <c r="V14" s="255" t="n"/>
      <c r="W14" s="350" t="n"/>
      <c r="X14" s="350" t="n"/>
    </row>
    <row r="15" ht="20.45" customHeight="1" s="257">
      <c r="A15" s="359">
        <f>日程表１!A15</f>
        <v/>
      </c>
      <c r="B15" s="29">
        <f>日程表１!B15</f>
        <v/>
      </c>
      <c r="C15" s="340" t="n"/>
      <c r="D15" s="253" t="inlineStr">
        <is>
          <t>ー</t>
        </is>
      </c>
      <c r="E15" s="341" t="n"/>
      <c r="F15" s="360" t="n"/>
      <c r="G15" s="359">
        <f>日程表１!G15</f>
        <v/>
      </c>
      <c r="H15" s="29">
        <f>日程表１!H15</f>
        <v/>
      </c>
      <c r="I15" s="340" t="n"/>
      <c r="J15" s="253" t="inlineStr">
        <is>
          <t>ー</t>
        </is>
      </c>
      <c r="K15" s="341" t="n"/>
      <c r="L15" s="360" t="n"/>
      <c r="M15" s="359">
        <f>日程表１!M15</f>
        <v/>
      </c>
      <c r="N15" s="29">
        <f>日程表１!N15</f>
        <v/>
      </c>
      <c r="O15" s="340" t="n"/>
      <c r="P15" s="253" t="inlineStr">
        <is>
          <t>ー</t>
        </is>
      </c>
      <c r="Q15" s="341" t="n"/>
      <c r="R15" s="360" t="n"/>
      <c r="S15" s="256" t="n"/>
      <c r="T15" s="256" t="n"/>
      <c r="U15" s="349" t="n"/>
      <c r="V15" s="255" t="n"/>
      <c r="W15" s="350" t="n"/>
      <c r="X15" s="350" t="n"/>
    </row>
    <row r="16" ht="20.45" customHeight="1" s="257">
      <c r="A16" s="359">
        <f>日程表１!A16</f>
        <v/>
      </c>
      <c r="B16" s="29">
        <f>日程表１!B16</f>
        <v/>
      </c>
      <c r="C16" s="340" t="n"/>
      <c r="D16" s="253" t="inlineStr">
        <is>
          <t>ー</t>
        </is>
      </c>
      <c r="E16" s="341" t="n"/>
      <c r="F16" s="360" t="n"/>
      <c r="G16" s="359">
        <f>日程表１!G16</f>
        <v/>
      </c>
      <c r="H16" s="29">
        <f>日程表１!H16</f>
        <v/>
      </c>
      <c r="I16" s="340" t="n"/>
      <c r="J16" s="253" t="inlineStr">
        <is>
          <t>ー</t>
        </is>
      </c>
      <c r="K16" s="341" t="n"/>
      <c r="L16" s="360" t="n"/>
      <c r="M16" s="359">
        <f>日程表１!M16</f>
        <v/>
      </c>
      <c r="N16" s="29">
        <f>日程表１!N16</f>
        <v/>
      </c>
      <c r="O16" s="340" t="n"/>
      <c r="P16" s="253" t="inlineStr">
        <is>
          <t>ー</t>
        </is>
      </c>
      <c r="Q16" s="341" t="n"/>
      <c r="R16" s="360" t="n"/>
      <c r="S16" s="256" t="n"/>
      <c r="T16" s="256" t="n"/>
      <c r="U16" s="349" t="n"/>
      <c r="V16" s="255" t="n"/>
      <c r="W16" s="350" t="n"/>
      <c r="X16" s="350" t="n"/>
    </row>
    <row r="17" ht="20.45" customHeight="1" s="257">
      <c r="A17" s="359">
        <f>日程表１!A17</f>
        <v/>
      </c>
      <c r="B17" s="29">
        <f>日程表１!B17</f>
        <v/>
      </c>
      <c r="C17" s="340" t="n"/>
      <c r="D17" s="253" t="inlineStr">
        <is>
          <t>ー</t>
        </is>
      </c>
      <c r="E17" s="341" t="n"/>
      <c r="F17" s="360" t="n"/>
      <c r="G17" s="359">
        <f>日程表１!G17</f>
        <v/>
      </c>
      <c r="H17" s="29">
        <f>日程表１!H17</f>
        <v/>
      </c>
      <c r="I17" s="340" t="n"/>
      <c r="J17" s="253" t="inlineStr">
        <is>
          <t>ー</t>
        </is>
      </c>
      <c r="K17" s="341" t="n"/>
      <c r="L17" s="360" t="n"/>
      <c r="M17" s="359">
        <f>日程表１!M17</f>
        <v/>
      </c>
      <c r="N17" s="29">
        <f>日程表１!N17</f>
        <v/>
      </c>
      <c r="O17" s="340" t="n"/>
      <c r="P17" s="253" t="inlineStr">
        <is>
          <t>ー</t>
        </is>
      </c>
      <c r="Q17" s="341" t="n"/>
      <c r="R17" s="360" t="n"/>
      <c r="S17" s="254" t="inlineStr">
        <is>
          <t>NO.</t>
        </is>
      </c>
      <c r="T17" s="251" t="inlineStr">
        <is>
          <t>team</t>
        </is>
      </c>
      <c r="U17" s="278" t="n"/>
      <c r="V17" s="278" t="n"/>
      <c r="W17" s="278" t="n"/>
      <c r="X17" s="279" t="n"/>
    </row>
    <row r="18" ht="20.45" customHeight="1" s="257">
      <c r="A18" s="359">
        <f>日程表１!A18</f>
        <v/>
      </c>
      <c r="B18" s="29">
        <f>日程表１!B18</f>
        <v/>
      </c>
      <c r="C18" s="342" t="n"/>
      <c r="D18" s="44" t="inlineStr">
        <is>
          <t>ー</t>
        </is>
      </c>
      <c r="E18" s="343" t="n"/>
      <c r="F18" s="360" t="n"/>
      <c r="G18" s="359">
        <f>日程表１!G18</f>
        <v/>
      </c>
      <c r="H18" s="29">
        <f>日程表１!H18</f>
        <v/>
      </c>
      <c r="I18" s="340" t="n"/>
      <c r="J18" s="253" t="inlineStr">
        <is>
          <t>ー</t>
        </is>
      </c>
      <c r="K18" s="341" t="n"/>
      <c r="L18" s="360" t="n"/>
      <c r="M18" s="359">
        <f>日程表１!M18</f>
        <v/>
      </c>
      <c r="N18" s="25">
        <f>日程表１!N18</f>
        <v/>
      </c>
      <c r="O18" s="340" t="n"/>
      <c r="P18" s="253" t="inlineStr">
        <is>
          <t>ー</t>
        </is>
      </c>
      <c r="Q18" s="341" t="n"/>
      <c r="R18" s="360" t="n"/>
      <c r="S18" s="254" t="n">
        <v>1</v>
      </c>
      <c r="T18" s="251">
        <f>リーグ勝敗表!AX6</f>
        <v/>
      </c>
      <c r="U18" s="278" t="n"/>
      <c r="V18" s="278" t="n"/>
      <c r="W18" s="278" t="n"/>
      <c r="X18" s="279" t="n"/>
    </row>
    <row r="19" ht="20.45" customHeight="1" s="257">
      <c r="A19" s="359">
        <f>日程表１!A19</f>
        <v/>
      </c>
      <c r="B19" s="29">
        <f>日程表１!B19</f>
        <v/>
      </c>
      <c r="C19" s="340" t="n"/>
      <c r="D19" s="253" t="inlineStr">
        <is>
          <t>ー</t>
        </is>
      </c>
      <c r="E19" s="341" t="n"/>
      <c r="F19" s="360" t="n"/>
      <c r="G19" s="359">
        <f>日程表１!G19</f>
        <v/>
      </c>
      <c r="H19" s="29">
        <f>日程表１!H19</f>
        <v/>
      </c>
      <c r="I19" s="340" t="inlineStr">
        <is>
          <t>予備日</t>
        </is>
      </c>
      <c r="J19" s="253" t="n"/>
      <c r="K19" s="341" t="n"/>
      <c r="L19" s="360" t="n"/>
      <c r="M19" s="359">
        <f>日程表１!M19</f>
        <v/>
      </c>
      <c r="N19" s="29">
        <f>日程表１!N19</f>
        <v/>
      </c>
      <c r="O19" s="340" t="n"/>
      <c r="P19" s="253" t="inlineStr">
        <is>
          <t>ー</t>
        </is>
      </c>
      <c r="Q19" s="341" t="n"/>
      <c r="R19" s="360" t="n"/>
      <c r="S19" s="254" t="n">
        <v>2</v>
      </c>
      <c r="T19" s="251">
        <f>リーグ勝敗表!AX8</f>
        <v/>
      </c>
      <c r="U19" s="278" t="n"/>
      <c r="V19" s="278" t="n"/>
      <c r="W19" s="278" t="n"/>
      <c r="X19" s="279" t="n"/>
    </row>
    <row r="20" ht="20.45" customHeight="1" s="257">
      <c r="A20" s="364">
        <f>日程表１!A20</f>
        <v/>
      </c>
      <c r="B20" s="29">
        <f>日程表１!B20</f>
        <v/>
      </c>
      <c r="C20" s="340" t="n"/>
      <c r="D20" s="253" t="inlineStr">
        <is>
          <t>ー</t>
        </is>
      </c>
      <c r="E20" s="341" t="n"/>
      <c r="F20" s="360" t="n"/>
      <c r="G20" s="364">
        <f>日程表１!G20</f>
        <v/>
      </c>
      <c r="H20" s="29">
        <f>日程表１!H20</f>
        <v/>
      </c>
      <c r="I20" s="340" t="inlineStr">
        <is>
          <t>予備日</t>
        </is>
      </c>
      <c r="J20" s="253" t="n"/>
      <c r="K20" s="341" t="n"/>
      <c r="L20" s="360" t="n"/>
      <c r="M20" s="364">
        <f>日程表１!M20</f>
        <v/>
      </c>
      <c r="N20" s="29">
        <f>日程表１!N20</f>
        <v/>
      </c>
      <c r="O20" s="340" t="n"/>
      <c r="P20" s="253" t="inlineStr">
        <is>
          <t>ー</t>
        </is>
      </c>
      <c r="Q20" s="341" t="n"/>
      <c r="R20" s="360" t="n"/>
      <c r="S20" s="254" t="n">
        <v>3</v>
      </c>
      <c r="T20" s="251">
        <f>リーグ勝敗表!AX10</f>
        <v/>
      </c>
      <c r="U20" s="278" t="n"/>
      <c r="V20" s="278" t="n"/>
      <c r="W20" s="278" t="n"/>
      <c r="X20" s="279" t="n"/>
    </row>
    <row r="21" ht="20.45" customHeight="1" s="257">
      <c r="A21" s="359">
        <f>日程表１!A21</f>
        <v/>
      </c>
      <c r="B21" s="29">
        <f>日程表１!B21</f>
        <v/>
      </c>
      <c r="C21" s="340" t="n"/>
      <c r="D21" s="253" t="inlineStr">
        <is>
          <t>ー</t>
        </is>
      </c>
      <c r="E21" s="341" t="n"/>
      <c r="F21" s="360" t="n"/>
      <c r="G21" s="359">
        <f>日程表１!G21</f>
        <v/>
      </c>
      <c r="H21" s="29">
        <f>日程表１!H21</f>
        <v/>
      </c>
      <c r="I21" s="340" t="inlineStr">
        <is>
          <t>予備日</t>
        </is>
      </c>
      <c r="J21" s="253" t="n"/>
      <c r="K21" s="341" t="n"/>
      <c r="L21" s="360" t="n"/>
      <c r="M21" s="359">
        <f>日程表１!M21</f>
        <v/>
      </c>
      <c r="N21" s="29">
        <f>日程表１!N21</f>
        <v/>
      </c>
      <c r="O21" s="340" t="n"/>
      <c r="P21" s="253" t="inlineStr">
        <is>
          <t>ー</t>
        </is>
      </c>
      <c r="Q21" s="341" t="n"/>
      <c r="R21" s="360" t="n"/>
      <c r="S21" s="254" t="n">
        <v>4</v>
      </c>
      <c r="T21" s="251">
        <f>リーグ勝敗表!AX12</f>
        <v/>
      </c>
      <c r="U21" s="278" t="n"/>
      <c r="V21" s="278" t="n"/>
      <c r="W21" s="278" t="n"/>
      <c r="X21" s="279" t="n"/>
    </row>
    <row r="22" ht="20.45" customHeight="1" s="257">
      <c r="A22" s="359">
        <f>日程表１!A22</f>
        <v/>
      </c>
      <c r="B22" s="29">
        <f>日程表１!B22</f>
        <v/>
      </c>
      <c r="C22" s="340" t="n"/>
      <c r="D22" s="253" t="inlineStr">
        <is>
          <t>ー</t>
        </is>
      </c>
      <c r="E22" s="341" t="n"/>
      <c r="F22" s="360" t="n"/>
      <c r="G22" s="359">
        <f>日程表１!G22</f>
        <v/>
      </c>
      <c r="H22" s="29">
        <f>日程表１!H22</f>
        <v/>
      </c>
      <c r="I22" s="340" t="n"/>
      <c r="J22" s="253" t="inlineStr">
        <is>
          <t>ー</t>
        </is>
      </c>
      <c r="K22" s="341" t="n"/>
      <c r="L22" s="360" t="n"/>
      <c r="M22" s="359">
        <f>日程表１!M22</f>
        <v/>
      </c>
      <c r="N22" s="29">
        <f>日程表１!N22</f>
        <v/>
      </c>
      <c r="O22" s="340" t="n"/>
      <c r="P22" s="253" t="inlineStr">
        <is>
          <t>ー</t>
        </is>
      </c>
      <c r="Q22" s="341" t="n"/>
      <c r="R22" s="360" t="n"/>
      <c r="S22" s="254" t="n">
        <v>5</v>
      </c>
      <c r="T22" s="251">
        <f>リーグ勝敗表!AX14</f>
        <v/>
      </c>
      <c r="U22" s="278" t="n"/>
      <c r="V22" s="278" t="n"/>
      <c r="W22" s="278" t="n"/>
      <c r="X22" s="279" t="n"/>
    </row>
    <row r="23" ht="20.45" customHeight="1" s="257">
      <c r="A23" s="359">
        <f>日程表１!A23</f>
        <v/>
      </c>
      <c r="B23" s="29">
        <f>日程表１!B23</f>
        <v/>
      </c>
      <c r="C23" s="340" t="n"/>
      <c r="D23" s="253" t="inlineStr">
        <is>
          <t>ー</t>
        </is>
      </c>
      <c r="E23" s="341" t="n"/>
      <c r="F23" s="360" t="n"/>
      <c r="G23" s="359">
        <f>日程表１!G23</f>
        <v/>
      </c>
      <c r="H23" s="29">
        <f>日程表１!H23</f>
        <v/>
      </c>
      <c r="I23" s="340" t="n"/>
      <c r="J23" s="253" t="inlineStr">
        <is>
          <t>ー</t>
        </is>
      </c>
      <c r="K23" s="341" t="n"/>
      <c r="L23" s="360" t="n"/>
      <c r="M23" s="359">
        <f>日程表１!M23</f>
        <v/>
      </c>
      <c r="N23" s="29">
        <f>日程表１!N23</f>
        <v/>
      </c>
      <c r="O23" s="340" t="n"/>
      <c r="P23" s="253" t="inlineStr">
        <is>
          <t>ー</t>
        </is>
      </c>
      <c r="Q23" s="341" t="n"/>
      <c r="R23" s="360" t="n"/>
      <c r="S23" s="254" t="n">
        <v>6</v>
      </c>
      <c r="T23" s="251">
        <f>リーグ勝敗表!AX16</f>
        <v/>
      </c>
      <c r="U23" s="278" t="n"/>
      <c r="V23" s="278" t="n"/>
      <c r="W23" s="278" t="n"/>
      <c r="X23" s="279" t="n"/>
    </row>
    <row r="24" ht="20.45" customHeight="1" s="257">
      <c r="A24" s="359">
        <f>日程表１!A24</f>
        <v/>
      </c>
      <c r="B24" s="29">
        <f>日程表１!B24</f>
        <v/>
      </c>
      <c r="C24" s="340" t="n"/>
      <c r="D24" s="253" t="inlineStr">
        <is>
          <t>ー</t>
        </is>
      </c>
      <c r="E24" s="341" t="n"/>
      <c r="F24" s="360" t="n"/>
      <c r="G24" s="359">
        <f>日程表１!G24</f>
        <v/>
      </c>
      <c r="H24" s="29">
        <f>日程表１!H24</f>
        <v/>
      </c>
      <c r="I24" s="340" t="n"/>
      <c r="J24" s="253" t="inlineStr">
        <is>
          <t>ー</t>
        </is>
      </c>
      <c r="K24" s="341" t="n"/>
      <c r="L24" s="360" t="n"/>
      <c r="M24" s="359">
        <f>日程表１!M24</f>
        <v/>
      </c>
      <c r="N24" s="29">
        <f>日程表１!N24</f>
        <v/>
      </c>
      <c r="O24" s="340" t="n"/>
      <c r="P24" s="253" t="inlineStr">
        <is>
          <t>ー</t>
        </is>
      </c>
      <c r="Q24" s="341" t="n"/>
      <c r="R24" s="360" t="n"/>
      <c r="S24" s="254" t="n">
        <v>7</v>
      </c>
      <c r="T24" s="251">
        <f>リーグ勝敗表!AX18</f>
        <v/>
      </c>
      <c r="U24" s="278" t="n"/>
      <c r="V24" s="278" t="n"/>
      <c r="W24" s="278" t="n"/>
      <c r="X24" s="279" t="n"/>
    </row>
    <row r="25" ht="20.45" customHeight="1" s="257">
      <c r="A25" s="359">
        <f>日程表１!A25</f>
        <v/>
      </c>
      <c r="B25" s="29">
        <f>日程表１!B25</f>
        <v/>
      </c>
      <c r="C25" s="342" t="n"/>
      <c r="D25" s="44" t="inlineStr">
        <is>
          <t>ー</t>
        </is>
      </c>
      <c r="E25" s="343" t="n"/>
      <c r="F25" s="360" t="n"/>
      <c r="G25" s="359">
        <f>日程表１!G25</f>
        <v/>
      </c>
      <c r="H25" s="29">
        <f>日程表１!H25</f>
        <v/>
      </c>
      <c r="I25" s="340" t="n"/>
      <c r="J25" s="253" t="inlineStr">
        <is>
          <t>ー</t>
        </is>
      </c>
      <c r="K25" s="341" t="n"/>
      <c r="L25" s="360" t="n"/>
      <c r="M25" s="359">
        <f>日程表１!M25</f>
        <v/>
      </c>
      <c r="N25" s="29">
        <f>日程表１!N25</f>
        <v/>
      </c>
      <c r="O25" s="340" t="n"/>
      <c r="P25" s="253" t="inlineStr">
        <is>
          <t>ー</t>
        </is>
      </c>
      <c r="Q25" s="341" t="n"/>
      <c r="R25" s="360" t="n"/>
      <c r="S25" s="254" t="n">
        <v>8</v>
      </c>
      <c r="T25" s="251">
        <f>リーグ勝敗表!AX20</f>
        <v/>
      </c>
      <c r="U25" s="278" t="n"/>
      <c r="V25" s="278" t="n"/>
      <c r="W25" s="278" t="n"/>
      <c r="X25" s="279" t="n"/>
    </row>
    <row r="26" ht="20.45" customHeight="1" s="257">
      <c r="A26" s="359">
        <f>日程表１!A26</f>
        <v/>
      </c>
      <c r="B26" s="29">
        <f>日程表１!B26</f>
        <v/>
      </c>
      <c r="C26" s="340" t="n"/>
      <c r="D26" s="253" t="inlineStr">
        <is>
          <t>ー</t>
        </is>
      </c>
      <c r="E26" s="341" t="n"/>
      <c r="F26" s="360" t="n"/>
      <c r="G26" s="359">
        <f>日程表１!G26</f>
        <v/>
      </c>
      <c r="H26" s="29">
        <f>日程表１!H26</f>
        <v/>
      </c>
      <c r="I26" s="340">
        <f>IFERROR(VLOOKUP(2,リーグ勝敗表!$AZ$6:$BA$11,2,0),"2")</f>
        <v/>
      </c>
      <c r="J26" s="253" t="inlineStr">
        <is>
          <t>ー</t>
        </is>
      </c>
      <c r="K26" s="341">
        <f>IFERROR(VLOOKUP(5,リーグ勝敗表!$AZ$6:$BA$11,2,0),"5")</f>
        <v/>
      </c>
      <c r="L26" s="360">
        <f>IFERROR(VLOOKUP(4,リーグ勝敗表!$AZ$6:$BA$11,2,0),"4")&amp;"-"&amp;IFERROR(VLOOKUP(6,リーグ勝敗表!$AZ$6:$BA$11,2,0),"6")</f>
        <v/>
      </c>
      <c r="M26" s="359">
        <f>日程表１!M26</f>
        <v/>
      </c>
      <c r="N26" s="29">
        <f>日程表１!N26</f>
        <v/>
      </c>
      <c r="O26" s="340" t="n"/>
      <c r="P26" s="253" t="inlineStr">
        <is>
          <t>ー</t>
        </is>
      </c>
      <c r="Q26" s="341" t="n"/>
      <c r="R26" s="360" t="n"/>
      <c r="S26" s="254" t="n">
        <v>9</v>
      </c>
      <c r="T26" s="251">
        <f>リーグ勝敗表!AX22</f>
        <v/>
      </c>
      <c r="U26" s="278" t="n"/>
      <c r="V26" s="278" t="n"/>
      <c r="W26" s="278" t="n"/>
      <c r="X26" s="279" t="n"/>
    </row>
    <row r="27" ht="20.45" customHeight="1" s="257">
      <c r="A27" s="359">
        <f>日程表１!A27</f>
        <v/>
      </c>
      <c r="B27" s="29">
        <f>日程表１!B27</f>
        <v/>
      </c>
      <c r="C27" s="340" t="n"/>
      <c r="D27" s="253" t="inlineStr">
        <is>
          <t>ー</t>
        </is>
      </c>
      <c r="E27" s="341" t="n"/>
      <c r="F27" s="360" t="n"/>
      <c r="G27" s="359">
        <f>日程表１!G27</f>
        <v/>
      </c>
      <c r="H27" s="29">
        <f>日程表１!H27</f>
        <v/>
      </c>
      <c r="I27" s="340">
        <f>IFERROR(VLOOKUP(1,リーグ勝敗表!$AZ$6:$BA$11,2,0),"1")</f>
        <v/>
      </c>
      <c r="J27" s="253" t="inlineStr">
        <is>
          <t>ー</t>
        </is>
      </c>
      <c r="K27" s="341">
        <f>IFERROR(VLOOKUP(4,リーグ勝敗表!$AZ$6:$BA$11,2,0),"4")</f>
        <v/>
      </c>
      <c r="L27" s="360">
        <f>IFERROR(VLOOKUP(2,リーグ勝敗表!$AZ$6:$BA$11,2,0),"2")&amp;"-"&amp;IFERROR(VLOOKUP(5,リーグ勝敗表!$AZ$6:$BA$11,2,0),"5")</f>
        <v/>
      </c>
      <c r="M27" s="359">
        <f>日程表１!M27</f>
        <v/>
      </c>
      <c r="N27" s="29">
        <f>日程表１!N27</f>
        <v/>
      </c>
      <c r="O27" s="340" t="n"/>
      <c r="P27" s="253" t="inlineStr">
        <is>
          <t>ー</t>
        </is>
      </c>
      <c r="Q27" s="341" t="n"/>
      <c r="R27" s="360" t="n"/>
      <c r="S27" s="254" t="n">
        <v>10</v>
      </c>
      <c r="T27" s="251">
        <f>リーグ勝敗表!AX24</f>
        <v/>
      </c>
      <c r="U27" s="278" t="n"/>
      <c r="V27" s="278" t="n"/>
      <c r="W27" s="278" t="n"/>
      <c r="X27" s="279" t="n"/>
    </row>
    <row r="28" ht="20.45" customHeight="1" s="257">
      <c r="A28" s="364">
        <f>日程表１!A28</f>
        <v/>
      </c>
      <c r="B28" s="29">
        <f>日程表１!B28</f>
        <v/>
      </c>
      <c r="C28" s="340" t="n"/>
      <c r="D28" s="253" t="inlineStr">
        <is>
          <t>ー</t>
        </is>
      </c>
      <c r="E28" s="341" t="n"/>
      <c r="F28" s="360" t="n"/>
      <c r="G28" s="364">
        <f>日程表１!G28</f>
        <v/>
      </c>
      <c r="H28" s="29">
        <f>日程表１!H28</f>
        <v/>
      </c>
      <c r="I28" s="340">
        <f>IFERROR(VLOOKUP(3,リーグ勝敗表!$AZ$6:$BA$11,2,0),"3")</f>
        <v/>
      </c>
      <c r="J28" s="253" t="inlineStr">
        <is>
          <t>ー</t>
        </is>
      </c>
      <c r="K28" s="341">
        <f>IFERROR(VLOOKUP(6,リーグ勝敗表!$AZ$6:$BA$11,2,0),"6")</f>
        <v/>
      </c>
      <c r="L28" s="360">
        <f>IFERROR(VLOOKUP(1,リーグ勝敗表!$AZ$6:$BA$11,2,0),"1")&amp;"-"&amp;IFERROR(VLOOKUP(4,リーグ勝敗表!$AZ$6:$BA$11,2,0),"4")</f>
        <v/>
      </c>
      <c r="M28" s="364">
        <f>日程表１!M28</f>
        <v/>
      </c>
      <c r="N28" s="29">
        <f>日程表１!N28</f>
        <v/>
      </c>
      <c r="O28" s="340" t="n"/>
      <c r="P28" s="253" t="inlineStr">
        <is>
          <t>ー</t>
        </is>
      </c>
      <c r="Q28" s="341" t="n"/>
      <c r="R28" s="360" t="n"/>
      <c r="S28" s="254" t="n">
        <v>11</v>
      </c>
      <c r="T28" s="251">
        <f>リーグ勝敗表!AX26</f>
        <v/>
      </c>
      <c r="U28" s="278" t="n"/>
      <c r="V28" s="278" t="n"/>
      <c r="W28" s="278" t="n"/>
      <c r="X28" s="279" t="n"/>
    </row>
    <row r="29" ht="20.45" customHeight="1" s="257">
      <c r="A29" s="359">
        <f>日程表１!A29</f>
        <v/>
      </c>
      <c r="B29" s="29">
        <f>日程表１!B29</f>
        <v/>
      </c>
      <c r="C29" s="340">
        <f>IFERROR(VLOOKUP(1,リーグ勝敗表!$AZ$6:$BA$11,2,0),"1")</f>
        <v/>
      </c>
      <c r="D29" s="253" t="inlineStr">
        <is>
          <t>ー</t>
        </is>
      </c>
      <c r="E29" s="341">
        <f>IFERROR(VLOOKUP(3,リーグ勝敗表!$AZ$6:$BA$11,2,0),"3")</f>
        <v/>
      </c>
      <c r="F29" s="360">
        <f>IFERROR(VLOOKUP(2,リーグ勝敗表!$AZ$6:$BA$11,2,0),"2")&amp;"-"&amp;IFERROR(VLOOKUP(6,リーグ勝敗表!$AZ$6:$BA$11,2,0),"6")</f>
        <v/>
      </c>
      <c r="G29" s="359">
        <f>日程表１!G29</f>
        <v/>
      </c>
      <c r="H29" s="29">
        <f>日程表１!H29</f>
        <v/>
      </c>
      <c r="I29" s="340" t="n"/>
      <c r="J29" s="253" t="inlineStr">
        <is>
          <t>ー</t>
        </is>
      </c>
      <c r="K29" s="341" t="n"/>
      <c r="L29" s="360" t="n"/>
      <c r="M29" s="359">
        <f>日程表１!M29</f>
        <v/>
      </c>
      <c r="N29" s="29">
        <f>日程表１!N29</f>
        <v/>
      </c>
      <c r="O29" s="340" t="n"/>
      <c r="P29" s="253" t="inlineStr">
        <is>
          <t>ー</t>
        </is>
      </c>
      <c r="Q29" s="341" t="n"/>
      <c r="R29" s="360" t="n"/>
      <c r="S29" s="255" t="n"/>
      <c r="T29" s="255" t="n"/>
      <c r="U29" s="350" t="n"/>
      <c r="V29" s="255" t="n"/>
      <c r="W29" s="350" t="n"/>
      <c r="X29" s="350" t="n"/>
    </row>
    <row r="30" ht="20.45" customHeight="1" s="257">
      <c r="A30" s="359">
        <f>日程表１!A30</f>
        <v/>
      </c>
      <c r="B30" s="29">
        <f>日程表１!B30</f>
        <v/>
      </c>
      <c r="C30" s="340">
        <f>IFERROR(VLOOKUP(5,リーグ勝敗表!$AZ$6:$BA$11,2,0),"5")</f>
        <v/>
      </c>
      <c r="D30" s="253" t="inlineStr">
        <is>
          <t>ー</t>
        </is>
      </c>
      <c r="E30" s="341">
        <f>IFERROR(VLOOKUP(6,リーグ勝敗表!$AZ$6:$BA$11,2,0),"6")</f>
        <v/>
      </c>
      <c r="F30" s="360">
        <f>IFERROR(VLOOKUP(1,リーグ勝敗表!$AZ$6:$BA$11,2,0),"1")&amp;"-"&amp;IFERROR(VLOOKUP(3,リーグ勝敗表!$AZ$6:$BA$11,2,0),"3")</f>
        <v/>
      </c>
      <c r="G30" s="359">
        <f>日程表１!G30</f>
        <v/>
      </c>
      <c r="H30" s="29">
        <f>日程表１!H30</f>
        <v/>
      </c>
      <c r="I30" s="340" t="n"/>
      <c r="J30" s="253" t="inlineStr">
        <is>
          <t>ー</t>
        </is>
      </c>
      <c r="K30" s="341" t="n"/>
      <c r="L30" s="360" t="n"/>
      <c r="M30" s="359">
        <f>日程表１!M30</f>
        <v/>
      </c>
      <c r="N30" s="29">
        <f>日程表１!N30</f>
        <v/>
      </c>
      <c r="O30" s="340" t="n"/>
      <c r="P30" s="253" t="inlineStr">
        <is>
          <t>ー</t>
        </is>
      </c>
      <c r="Q30" s="341" t="n"/>
      <c r="R30" s="360" t="n"/>
      <c r="S30" s="255" t="n"/>
      <c r="T30" s="255" t="n"/>
      <c r="U30" s="350" t="n"/>
      <c r="V30" s="255" t="n"/>
      <c r="W30" s="350" t="n"/>
      <c r="X30" s="350" t="n"/>
    </row>
    <row r="31" ht="20.45" customHeight="1" s="257">
      <c r="A31" s="359">
        <f>日程表１!A31</f>
        <v/>
      </c>
      <c r="B31" s="29">
        <f>日程表１!B31</f>
        <v/>
      </c>
      <c r="C31" s="340">
        <f>IFERROR(VLOOKUP(2,リーグ勝敗表!$AZ$6:$BA$11,2,0),"2")</f>
        <v/>
      </c>
      <c r="D31" s="253" t="inlineStr">
        <is>
          <t>ー</t>
        </is>
      </c>
      <c r="E31" s="341">
        <f>IFERROR(VLOOKUP(4,リーグ勝敗表!$AZ$6:$BA$11,2,0),"4")</f>
        <v/>
      </c>
      <c r="F31" s="360">
        <f>IFERROR(VLOOKUP(5,リーグ勝敗表!$AZ$6:$BA$11,2,0),"5")&amp;"-"&amp;IFERROR(VLOOKUP(6,リーグ勝敗表!$AZ$6:$BA$11,2,0),"6")</f>
        <v/>
      </c>
      <c r="G31" s="359">
        <f>日程表１!G31</f>
        <v/>
      </c>
      <c r="H31" s="29">
        <f>日程表１!H31</f>
        <v/>
      </c>
      <c r="I31" s="340" t="n"/>
      <c r="J31" s="253" t="inlineStr">
        <is>
          <t>ー</t>
        </is>
      </c>
      <c r="K31" s="341" t="n"/>
      <c r="L31" s="360" t="n"/>
      <c r="M31" s="359">
        <f>日程表１!M31</f>
        <v/>
      </c>
      <c r="N31" s="29">
        <f>日程表１!N31</f>
        <v/>
      </c>
      <c r="O31" s="340" t="n"/>
      <c r="P31" s="253" t="inlineStr">
        <is>
          <t>ー</t>
        </is>
      </c>
      <c r="Q31" s="341" t="n"/>
      <c r="R31" s="360" t="n"/>
      <c r="S31" s="255" t="n"/>
      <c r="T31" s="255" t="n"/>
      <c r="U31" s="350" t="n"/>
      <c r="V31" s="255" t="n"/>
      <c r="W31" s="350" t="n"/>
      <c r="X31" s="350" t="n"/>
    </row>
    <row r="32" ht="20.45" customHeight="1" s="257">
      <c r="A32" s="359">
        <f>日程表１!A32</f>
        <v/>
      </c>
      <c r="B32" s="29">
        <f>日程表１!B32</f>
        <v/>
      </c>
      <c r="C32" s="342" t="n"/>
      <c r="D32" s="44" t="inlineStr">
        <is>
          <t>ー</t>
        </is>
      </c>
      <c r="E32" s="343" t="n"/>
      <c r="F32" s="360" t="n"/>
      <c r="G32" s="359">
        <f>日程表１!G32</f>
        <v/>
      </c>
      <c r="H32" s="29">
        <f>日程表１!H32</f>
        <v/>
      </c>
      <c r="I32" s="340" t="n"/>
      <c r="J32" s="253" t="inlineStr">
        <is>
          <t>ー</t>
        </is>
      </c>
      <c r="K32" s="341" t="n"/>
      <c r="L32" s="360" t="n"/>
      <c r="M32" s="359">
        <f>日程表１!M32</f>
        <v/>
      </c>
      <c r="N32" s="29">
        <f>日程表１!N32</f>
        <v/>
      </c>
      <c r="O32" s="340" t="n"/>
      <c r="P32" s="253" t="inlineStr">
        <is>
          <t>ー</t>
        </is>
      </c>
      <c r="Q32" s="341" t="n"/>
      <c r="R32" s="360" t="n"/>
      <c r="S32" s="255" t="n"/>
      <c r="T32" s="255" t="n"/>
      <c r="U32" s="350" t="n"/>
      <c r="V32" s="255" t="n"/>
      <c r="W32" s="350" t="n"/>
      <c r="X32" s="350" t="n"/>
    </row>
    <row r="33" ht="20.45" customHeight="1" s="257">
      <c r="A33" s="359">
        <f>日程表１!A33</f>
        <v/>
      </c>
      <c r="B33" s="29">
        <f>日程表１!B33</f>
        <v/>
      </c>
      <c r="C33" s="340" t="n"/>
      <c r="D33" s="253" t="inlineStr">
        <is>
          <t>ー</t>
        </is>
      </c>
      <c r="E33" s="341" t="n"/>
      <c r="F33" s="360" t="n"/>
      <c r="G33" s="359">
        <f>日程表１!G33</f>
        <v/>
      </c>
      <c r="H33" s="29">
        <f>日程表１!H33</f>
        <v/>
      </c>
      <c r="I33" s="340">
        <f>IFERROR(VLOOKUP(1,リーグ勝敗表!$AZ$6:$BA$11,2,0),"1")</f>
        <v/>
      </c>
      <c r="J33" s="253" t="inlineStr">
        <is>
          <t>ー</t>
        </is>
      </c>
      <c r="K33" s="341">
        <f>IFERROR(VLOOKUP(5,リーグ勝敗表!$AZ$6:$BA$11,2,0),"5")</f>
        <v/>
      </c>
      <c r="L33" s="360">
        <f>IFERROR(VLOOKUP(3,リーグ勝敗表!$AZ$6:$BA$11,2,0),"3")&amp;"-"&amp;IFERROR(VLOOKUP(6,リーグ勝敗表!$AZ$6:$BA$11,2,0),"6")</f>
        <v/>
      </c>
      <c r="M33" s="359">
        <f>日程表１!M33</f>
        <v/>
      </c>
      <c r="N33" s="29">
        <f>日程表１!N33</f>
        <v/>
      </c>
      <c r="O33" s="340" t="n"/>
      <c r="P33" s="253" t="inlineStr">
        <is>
          <t>ー</t>
        </is>
      </c>
      <c r="Q33" s="341" t="n"/>
      <c r="R33" s="360" t="n"/>
      <c r="S33" s="255" t="n"/>
      <c r="T33" s="255" t="n"/>
      <c r="U33" s="350" t="n"/>
      <c r="V33" s="255" t="n"/>
      <c r="W33" s="350" t="n"/>
      <c r="X33" s="350" t="n"/>
    </row>
    <row r="34" ht="20.45" customHeight="1" s="257">
      <c r="A34" s="359">
        <f>日程表１!A34</f>
        <v/>
      </c>
      <c r="B34" s="29">
        <f>日程表１!B34</f>
        <v/>
      </c>
      <c r="C34" s="340" t="n"/>
      <c r="D34" s="253" t="inlineStr">
        <is>
          <t>ー</t>
        </is>
      </c>
      <c r="E34" s="363" t="n"/>
      <c r="F34" s="349" t="n"/>
      <c r="G34" s="359" t="n"/>
      <c r="H34" s="256" t="n"/>
      <c r="I34" s="340" t="n"/>
      <c r="J34" s="253" t="inlineStr">
        <is>
          <t>ー</t>
        </is>
      </c>
      <c r="K34" s="341" t="n"/>
      <c r="L34" s="360" t="n"/>
      <c r="M34" s="359">
        <f>日程表１!M34</f>
        <v/>
      </c>
      <c r="N34" s="29">
        <f>日程表１!N34</f>
        <v/>
      </c>
      <c r="O34" s="340" t="n"/>
      <c r="P34" s="253" t="inlineStr">
        <is>
          <t>ー</t>
        </is>
      </c>
      <c r="Q34" s="341" t="n"/>
      <c r="R34" s="360" t="n"/>
      <c r="S34" s="255" t="n"/>
      <c r="T34" s="255" t="n"/>
      <c r="U34" s="350" t="n"/>
      <c r="V34" s="255" t="n"/>
      <c r="W34" s="350" t="n"/>
      <c r="X34" s="350" t="n"/>
    </row>
    <row r="35" ht="3" customHeight="1" s="257"/>
  </sheetData>
  <mergeCells count="22">
    <mergeCell ref="M2:R2"/>
    <mergeCell ref="S2:X2"/>
    <mergeCell ref="T24:X24"/>
    <mergeCell ref="T20:X20"/>
    <mergeCell ref="I3:K3"/>
    <mergeCell ref="U3:W3"/>
    <mergeCell ref="A2:F2"/>
    <mergeCell ref="T1:V1"/>
    <mergeCell ref="T25:X25"/>
    <mergeCell ref="T21:X21"/>
    <mergeCell ref="T26:X26"/>
    <mergeCell ref="A1:S1"/>
    <mergeCell ref="C3:E3"/>
    <mergeCell ref="T23:X23"/>
    <mergeCell ref="O3:Q3"/>
    <mergeCell ref="T22:X22"/>
    <mergeCell ref="T17:X17"/>
    <mergeCell ref="G2:L2"/>
    <mergeCell ref="T28:X28"/>
    <mergeCell ref="T19:X19"/>
    <mergeCell ref="T27:X27"/>
    <mergeCell ref="T18:X18"/>
  </mergeCells>
  <conditionalFormatting sqref="B4">
    <cfRule type="cellIs" priority="1" operator="between" dxfId="0">
      <formula>"土、日"</formula>
      <formula>"（０，ー１）"</formula>
    </cfRule>
  </conditionalFormatting>
  <conditionalFormatting sqref="B4:B34 H4:H33 N4:N34 T4:T13">
    <cfRule type="cellIs" priority="2" operator="between" dxfId="0">
      <formula>"日"</formula>
      <formula>"土"</formula>
    </cfRule>
  </conditionalFormatting>
  <pageMargins left="0.3" right="0.3" top="0.4" bottom="0.4" header="0.3" footer="0.3"/>
  <pageSetup orientation="landscape" paperSize="9" fitToHeight="1" fitToWidth="1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リーグ勝敗表</dc:title>
  <dcterms:created xsi:type="dcterms:W3CDTF">2018-05-09T11:48:52Z</dcterms:created>
  <dcterms:modified xsi:type="dcterms:W3CDTF">2026-05-15T14:40:16Z</dcterms:modified>
  <cp:lastModifiedBy>X Mr.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TemplateID" fmtid="{D5CDD505-2E9C-101B-9397-08002B2CF9AE}" pid="2">
    <vt:lpwstr>TC027735869991</vt:lpwstr>
  </property>
</Properties>
</file>